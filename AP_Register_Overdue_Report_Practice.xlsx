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1b43195ea46643e/Documents/Data Analyst 2026/10 Analytics/Portfolio/Excel/FLINT_practice_projects/ap-register-practice/"/>
    </mc:Choice>
  </mc:AlternateContent>
  <xr:revisionPtr revIDLastSave="4" documentId="11_8B59F3BF09B63EF98334D0528B9A2538CEBBE62D" xr6:coauthVersionLast="47" xr6:coauthVersionMax="47" xr10:uidLastSave="{36123721-4133-40C1-9499-8ACEEA25AC24}"/>
  <bookViews>
    <workbookView xWindow="-120" yWindow="-120" windowWidth="29040" windowHeight="15720" tabRatio="500" xr2:uid="{00000000-000D-0000-FFFF-FFFF00000000}"/>
  </bookViews>
  <sheets>
    <sheet name="Overview" sheetId="1" r:id="rId1"/>
    <sheet name="AP_Register" sheetId="2" r:id="rId2"/>
    <sheet name="Overdue_Report" sheetId="3" r:id="rId3"/>
    <sheet name="Expense_Claims" sheetId="4" r:id="rId4"/>
    <sheet name="Checks" sheetId="5" r:id="rId5"/>
    <sheet name="Process_Note" sheetId="6" r:id="rId6"/>
    <sheet name="Lists" sheetId="7" r:id="rId7"/>
  </sheets>
  <definedNames>
    <definedName name="_xlnm._FilterDatabase" localSheetId="1" hidden="1">AP_Register!$A$5:$AG$33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3" i="5" l="1"/>
  <c r="G17" i="4"/>
  <c r="M16" i="4"/>
  <c r="L16" i="4"/>
  <c r="K16" i="4"/>
  <c r="I16" i="4"/>
  <c r="J16" i="4" s="1"/>
  <c r="O16" i="4" s="1"/>
  <c r="P15" i="4"/>
  <c r="M15" i="4"/>
  <c r="L15" i="4"/>
  <c r="K15" i="4"/>
  <c r="I15" i="4"/>
  <c r="J15" i="4" s="1"/>
  <c r="O15" i="4" s="1"/>
  <c r="M14" i="4"/>
  <c r="L14" i="4"/>
  <c r="K14" i="4"/>
  <c r="I14" i="4"/>
  <c r="J14" i="4" s="1"/>
  <c r="O14" i="4" s="1"/>
  <c r="M13" i="4"/>
  <c r="P13" i="4" s="1"/>
  <c r="L13" i="4"/>
  <c r="K13" i="4"/>
  <c r="J13" i="4"/>
  <c r="O13" i="4" s="1"/>
  <c r="I13" i="4"/>
  <c r="M12" i="4"/>
  <c r="P12" i="4" s="1"/>
  <c r="L12" i="4"/>
  <c r="K12" i="4"/>
  <c r="J12" i="4"/>
  <c r="O12" i="4" s="1"/>
  <c r="I12" i="4"/>
  <c r="M11" i="4"/>
  <c r="P11" i="4" s="1"/>
  <c r="L11" i="4"/>
  <c r="K11" i="4"/>
  <c r="J11" i="4"/>
  <c r="O11" i="4" s="1"/>
  <c r="I11" i="4"/>
  <c r="M10" i="4"/>
  <c r="L10" i="4"/>
  <c r="K10" i="4"/>
  <c r="P10" i="4" s="1"/>
  <c r="I10" i="4"/>
  <c r="J10" i="4" s="1"/>
  <c r="O10" i="4" s="1"/>
  <c r="M9" i="4"/>
  <c r="L9" i="4"/>
  <c r="K9" i="4"/>
  <c r="I9" i="4"/>
  <c r="J9" i="4" s="1"/>
  <c r="O9" i="4" s="1"/>
  <c r="P8" i="4"/>
  <c r="M8" i="4"/>
  <c r="L8" i="4"/>
  <c r="K8" i="4"/>
  <c r="J8" i="4"/>
  <c r="O8" i="4" s="1"/>
  <c r="I8" i="4"/>
  <c r="M7" i="4"/>
  <c r="L7" i="4"/>
  <c r="K7" i="4"/>
  <c r="I7" i="4"/>
  <c r="J7" i="4" s="1"/>
  <c r="M6" i="4"/>
  <c r="P6" i="4" s="1"/>
  <c r="L6" i="4"/>
  <c r="K6" i="4"/>
  <c r="J6" i="4"/>
  <c r="I6" i="4"/>
  <c r="M5" i="4"/>
  <c r="P5" i="4" s="1"/>
  <c r="L5" i="4"/>
  <c r="K5" i="4"/>
  <c r="I5" i="4"/>
  <c r="J5" i="4" s="1"/>
  <c r="O5" i="4" s="1"/>
  <c r="A28" i="3"/>
  <c r="A27" i="3"/>
  <c r="A26" i="3"/>
  <c r="A25" i="3"/>
  <c r="A24" i="3"/>
  <c r="A23" i="3"/>
  <c r="A22" i="3"/>
  <c r="A21" i="3"/>
  <c r="A20" i="3"/>
  <c r="B4" i="3"/>
  <c r="W34" i="2"/>
  <c r="O34" i="2"/>
  <c r="M34" i="2"/>
  <c r="AC33" i="2"/>
  <c r="AB33" i="2"/>
  <c r="AA33" i="2"/>
  <c r="Y33" i="2"/>
  <c r="Q33" i="2"/>
  <c r="X33" i="2" s="1"/>
  <c r="AF33" i="2" s="1"/>
  <c r="AG33" i="2" s="1"/>
  <c r="P33" i="2"/>
  <c r="K33" i="2"/>
  <c r="J33" i="2"/>
  <c r="F33" i="2"/>
  <c r="AD33" i="2" s="1"/>
  <c r="E33" i="2"/>
  <c r="AC32" i="2"/>
  <c r="AB32" i="2"/>
  <c r="AA32" i="2"/>
  <c r="Y32" i="2"/>
  <c r="Q32" i="2"/>
  <c r="X32" i="2" s="1"/>
  <c r="AF32" i="2" s="1"/>
  <c r="AG32" i="2" s="1"/>
  <c r="P32" i="2"/>
  <c r="K32" i="2"/>
  <c r="J32" i="2"/>
  <c r="F32" i="2"/>
  <c r="AD32" i="2" s="1"/>
  <c r="E32" i="2"/>
  <c r="AC31" i="2"/>
  <c r="AB31" i="2"/>
  <c r="AA31" i="2"/>
  <c r="Y31" i="2"/>
  <c r="Q31" i="2"/>
  <c r="X31" i="2" s="1"/>
  <c r="AF31" i="2" s="1"/>
  <c r="AG31" i="2" s="1"/>
  <c r="P31" i="2"/>
  <c r="K31" i="2"/>
  <c r="J31" i="2"/>
  <c r="F31" i="2"/>
  <c r="AD31" i="2" s="1"/>
  <c r="E31" i="2"/>
  <c r="AC30" i="2"/>
  <c r="AB30" i="2"/>
  <c r="AA30" i="2"/>
  <c r="Y30" i="2"/>
  <c r="Q30" i="2"/>
  <c r="X30" i="2" s="1"/>
  <c r="AF30" i="2" s="1"/>
  <c r="AG30" i="2" s="1"/>
  <c r="P30" i="2"/>
  <c r="K30" i="2"/>
  <c r="J30" i="2"/>
  <c r="F30" i="2"/>
  <c r="AD30" i="2" s="1"/>
  <c r="E30" i="2"/>
  <c r="AC29" i="2"/>
  <c r="AB29" i="2"/>
  <c r="AA29" i="2"/>
  <c r="Y29" i="2"/>
  <c r="Q29" i="2"/>
  <c r="X29" i="2" s="1"/>
  <c r="AF29" i="2" s="1"/>
  <c r="AG29" i="2" s="1"/>
  <c r="P29" i="2"/>
  <c r="K29" i="2"/>
  <c r="J29" i="2"/>
  <c r="F29" i="2"/>
  <c r="AD29" i="2" s="1"/>
  <c r="E29" i="2"/>
  <c r="AC28" i="2"/>
  <c r="AB28" i="2"/>
  <c r="AA28" i="2"/>
  <c r="Y28" i="2"/>
  <c r="Q28" i="2"/>
  <c r="X28" i="2" s="1"/>
  <c r="AF28" i="2" s="1"/>
  <c r="AG28" i="2" s="1"/>
  <c r="P28" i="2"/>
  <c r="K28" i="2"/>
  <c r="J28" i="2"/>
  <c r="F28" i="2"/>
  <c r="AD28" i="2" s="1"/>
  <c r="E28" i="2"/>
  <c r="AC27" i="2"/>
  <c r="AB27" i="2"/>
  <c r="AA27" i="2"/>
  <c r="Y27" i="2"/>
  <c r="Q27" i="2"/>
  <c r="X27" i="2" s="1"/>
  <c r="AF27" i="2" s="1"/>
  <c r="AG27" i="2" s="1"/>
  <c r="P27" i="2"/>
  <c r="K27" i="2"/>
  <c r="J27" i="2"/>
  <c r="F27" i="2"/>
  <c r="AD27" i="2" s="1"/>
  <c r="E27" i="2"/>
  <c r="AG26" i="2"/>
  <c r="AC26" i="2"/>
  <c r="AB26" i="2"/>
  <c r="AA26" i="2"/>
  <c r="Y26" i="2"/>
  <c r="Q26" i="2"/>
  <c r="X26" i="2" s="1"/>
  <c r="AF26" i="2" s="1"/>
  <c r="P26" i="2"/>
  <c r="K26" i="2"/>
  <c r="J26" i="2"/>
  <c r="F26" i="2"/>
  <c r="AD26" i="2" s="1"/>
  <c r="E26" i="2"/>
  <c r="AC25" i="2"/>
  <c r="AB25" i="2"/>
  <c r="AA25" i="2"/>
  <c r="Y25" i="2"/>
  <c r="Q25" i="2"/>
  <c r="X25" i="2" s="1"/>
  <c r="AF25" i="2" s="1"/>
  <c r="AG25" i="2" s="1"/>
  <c r="P25" i="2"/>
  <c r="K25" i="2"/>
  <c r="J25" i="2"/>
  <c r="F25" i="2"/>
  <c r="AD25" i="2" s="1"/>
  <c r="E25" i="2"/>
  <c r="AC24" i="2"/>
  <c r="AB24" i="2"/>
  <c r="AA24" i="2"/>
  <c r="Y24" i="2"/>
  <c r="Q24" i="2"/>
  <c r="X24" i="2" s="1"/>
  <c r="P24" i="2"/>
  <c r="K24" i="2"/>
  <c r="J24" i="2"/>
  <c r="F24" i="2"/>
  <c r="AD24" i="2" s="1"/>
  <c r="E24" i="2"/>
  <c r="AC23" i="2"/>
  <c r="AB23" i="2"/>
  <c r="AA23" i="2"/>
  <c r="Y23" i="2"/>
  <c r="Q23" i="2"/>
  <c r="X23" i="2" s="1"/>
  <c r="P23" i="2"/>
  <c r="K23" i="2"/>
  <c r="J23" i="2"/>
  <c r="F23" i="2"/>
  <c r="AD23" i="2" s="1"/>
  <c r="E23" i="2"/>
  <c r="AC22" i="2"/>
  <c r="AB22" i="2"/>
  <c r="AA22" i="2"/>
  <c r="Y22" i="2"/>
  <c r="Q22" i="2"/>
  <c r="X22" i="2" s="1"/>
  <c r="AF22" i="2" s="1"/>
  <c r="AG22" i="2" s="1"/>
  <c r="P22" i="2"/>
  <c r="K22" i="2"/>
  <c r="J22" i="2"/>
  <c r="F22" i="2"/>
  <c r="AD22" i="2" s="1"/>
  <c r="E22" i="2"/>
  <c r="AC21" i="2"/>
  <c r="AB21" i="2"/>
  <c r="AA21" i="2"/>
  <c r="Y21" i="2"/>
  <c r="Q21" i="2"/>
  <c r="X21" i="2" s="1"/>
  <c r="AF21" i="2" s="1"/>
  <c r="AG21" i="2" s="1"/>
  <c r="P21" i="2"/>
  <c r="K21" i="2"/>
  <c r="J21" i="2"/>
  <c r="F21" i="2"/>
  <c r="AD21" i="2" s="1"/>
  <c r="E21" i="2"/>
  <c r="AG20" i="2"/>
  <c r="AC20" i="2"/>
  <c r="AB20" i="2"/>
  <c r="AA20" i="2"/>
  <c r="Y20" i="2"/>
  <c r="Q20" i="2"/>
  <c r="X20" i="2" s="1"/>
  <c r="AF20" i="2" s="1"/>
  <c r="P20" i="2"/>
  <c r="K20" i="2"/>
  <c r="J20" i="2"/>
  <c r="F20" i="2"/>
  <c r="AD20" i="2" s="1"/>
  <c r="E20" i="2"/>
  <c r="AC19" i="2"/>
  <c r="AB19" i="2"/>
  <c r="AA19" i="2"/>
  <c r="Y19" i="2"/>
  <c r="Q19" i="2"/>
  <c r="X19" i="2" s="1"/>
  <c r="AF19" i="2" s="1"/>
  <c r="AG19" i="2" s="1"/>
  <c r="P19" i="2"/>
  <c r="K19" i="2"/>
  <c r="J19" i="2"/>
  <c r="F19" i="2"/>
  <c r="AD19" i="2" s="1"/>
  <c r="E19" i="2"/>
  <c r="AG18" i="2"/>
  <c r="AC18" i="2"/>
  <c r="AB18" i="2"/>
  <c r="AA18" i="2"/>
  <c r="Y18" i="2"/>
  <c r="X18" i="2"/>
  <c r="AF18" i="2" s="1"/>
  <c r="Q18" i="2"/>
  <c r="P18" i="2"/>
  <c r="K18" i="2"/>
  <c r="J18" i="2"/>
  <c r="F18" i="2"/>
  <c r="AD18" i="2" s="1"/>
  <c r="E18" i="2"/>
  <c r="AC17" i="2"/>
  <c r="AB17" i="2"/>
  <c r="AA17" i="2"/>
  <c r="Y17" i="2"/>
  <c r="Q17" i="2"/>
  <c r="X17" i="2" s="1"/>
  <c r="AF17" i="2" s="1"/>
  <c r="AG17" i="2" s="1"/>
  <c r="P17" i="2"/>
  <c r="K17" i="2"/>
  <c r="J17" i="2"/>
  <c r="F17" i="2"/>
  <c r="AD17" i="2" s="1"/>
  <c r="E17" i="2"/>
  <c r="AC16" i="2"/>
  <c r="AB16" i="2"/>
  <c r="AA16" i="2"/>
  <c r="Y16" i="2"/>
  <c r="Q16" i="2"/>
  <c r="X16" i="2" s="1"/>
  <c r="AF16" i="2" s="1"/>
  <c r="AG16" i="2" s="1"/>
  <c r="P16" i="2"/>
  <c r="K16" i="2"/>
  <c r="J16" i="2"/>
  <c r="F16" i="2"/>
  <c r="AD16" i="2" s="1"/>
  <c r="E16" i="2"/>
  <c r="AG15" i="2"/>
  <c r="AC15" i="2"/>
  <c r="AB15" i="2"/>
  <c r="AA15" i="2"/>
  <c r="Y15" i="2"/>
  <c r="Q15" i="2"/>
  <c r="X15" i="2" s="1"/>
  <c r="AF15" i="2" s="1"/>
  <c r="P15" i="2"/>
  <c r="K15" i="2"/>
  <c r="J15" i="2"/>
  <c r="F15" i="2"/>
  <c r="AD15" i="2" s="1"/>
  <c r="E15" i="2"/>
  <c r="AC14" i="2"/>
  <c r="AB14" i="2"/>
  <c r="AA14" i="2"/>
  <c r="Y14" i="2"/>
  <c r="Q14" i="2"/>
  <c r="X14" i="2" s="1"/>
  <c r="P14" i="2"/>
  <c r="K14" i="2"/>
  <c r="J14" i="2"/>
  <c r="F14" i="2"/>
  <c r="AD14" i="2" s="1"/>
  <c r="E14" i="2"/>
  <c r="AG13" i="2"/>
  <c r="AC13" i="2"/>
  <c r="AB13" i="2"/>
  <c r="AA13" i="2"/>
  <c r="Y13" i="2"/>
  <c r="Q13" i="2"/>
  <c r="X13" i="2" s="1"/>
  <c r="AF13" i="2" s="1"/>
  <c r="P13" i="2"/>
  <c r="K13" i="2"/>
  <c r="J13" i="2"/>
  <c r="F13" i="2"/>
  <c r="AD13" i="2" s="1"/>
  <c r="E13" i="2"/>
  <c r="AC12" i="2"/>
  <c r="AB12" i="2"/>
  <c r="AA12" i="2"/>
  <c r="Y12" i="2"/>
  <c r="Q12" i="2"/>
  <c r="X12" i="2" s="1"/>
  <c r="P12" i="2"/>
  <c r="K12" i="2"/>
  <c r="J12" i="2"/>
  <c r="F12" i="2"/>
  <c r="AD12" i="2" s="1"/>
  <c r="E12" i="2"/>
  <c r="AC11" i="2"/>
  <c r="AB11" i="2"/>
  <c r="AA11" i="2"/>
  <c r="Y11" i="2"/>
  <c r="Q11" i="2"/>
  <c r="X11" i="2" s="1"/>
  <c r="AF11" i="2" s="1"/>
  <c r="AG11" i="2" s="1"/>
  <c r="P11" i="2"/>
  <c r="K11" i="2"/>
  <c r="J11" i="2"/>
  <c r="F11" i="2"/>
  <c r="AD11" i="2" s="1"/>
  <c r="E11" i="2"/>
  <c r="AC10" i="2"/>
  <c r="AB10" i="2"/>
  <c r="AA10" i="2"/>
  <c r="Y10" i="2"/>
  <c r="Z10" i="2" s="1"/>
  <c r="Q10" i="2"/>
  <c r="X10" i="2" s="1"/>
  <c r="P10" i="2"/>
  <c r="K10" i="2"/>
  <c r="J10" i="2"/>
  <c r="F10" i="2"/>
  <c r="AD10" i="2" s="1"/>
  <c r="E10" i="2"/>
  <c r="AC9" i="2"/>
  <c r="AB9" i="2"/>
  <c r="AA9" i="2"/>
  <c r="Y9" i="2"/>
  <c r="Q9" i="2"/>
  <c r="X9" i="2" s="1"/>
  <c r="P9" i="2"/>
  <c r="K9" i="2"/>
  <c r="J9" i="2"/>
  <c r="F9" i="2"/>
  <c r="AD9" i="2" s="1"/>
  <c r="E9" i="2"/>
  <c r="AC8" i="2"/>
  <c r="AB8" i="2"/>
  <c r="AA8" i="2"/>
  <c r="Y8" i="2"/>
  <c r="Z8" i="2" s="1"/>
  <c r="Q8" i="2"/>
  <c r="X8" i="2" s="1"/>
  <c r="P8" i="2"/>
  <c r="K8" i="2"/>
  <c r="J8" i="2"/>
  <c r="F8" i="2"/>
  <c r="AD8" i="2" s="1"/>
  <c r="E8" i="2"/>
  <c r="AC7" i="2"/>
  <c r="AB7" i="2"/>
  <c r="AA7" i="2"/>
  <c r="Y7" i="2"/>
  <c r="Q7" i="2"/>
  <c r="X7" i="2" s="1"/>
  <c r="P7" i="2"/>
  <c r="K7" i="2"/>
  <c r="J7" i="2"/>
  <c r="F7" i="2"/>
  <c r="AD7" i="2" s="1"/>
  <c r="E7" i="2"/>
  <c r="AC6" i="2"/>
  <c r="D10" i="5" s="1"/>
  <c r="F10" i="5" s="1"/>
  <c r="AB6" i="2"/>
  <c r="D9" i="5" s="1"/>
  <c r="F9" i="5" s="1"/>
  <c r="AA6" i="2"/>
  <c r="D8" i="5" s="1"/>
  <c r="F8" i="5" s="1"/>
  <c r="Y6" i="2"/>
  <c r="Q6" i="2"/>
  <c r="P6" i="2"/>
  <c r="P34" i="2" s="1"/>
  <c r="K6" i="2"/>
  <c r="J6" i="2"/>
  <c r="F6" i="2"/>
  <c r="AD6" i="2" s="1"/>
  <c r="E6" i="2"/>
  <c r="Z7" i="2" l="1"/>
  <c r="AE7" i="2" s="1"/>
  <c r="AE8" i="2"/>
  <c r="Z9" i="2"/>
  <c r="AE9" i="2" s="1"/>
  <c r="AE10" i="2"/>
  <c r="Z11" i="2"/>
  <c r="AE11" i="2" s="1"/>
  <c r="AF14" i="2"/>
  <c r="D27" i="3"/>
  <c r="AE24" i="2"/>
  <c r="Z24" i="2"/>
  <c r="O7" i="4"/>
  <c r="P7" i="4"/>
  <c r="Z14" i="2"/>
  <c r="AE14" i="2" s="1"/>
  <c r="AE27" i="2"/>
  <c r="Z27" i="2"/>
  <c r="AF12" i="2"/>
  <c r="D26" i="3"/>
  <c r="Z17" i="2"/>
  <c r="AE17" i="2" s="1"/>
  <c r="Z22" i="2"/>
  <c r="AE22" i="2" s="1"/>
  <c r="X6" i="2"/>
  <c r="Q34" i="2"/>
  <c r="AF8" i="2"/>
  <c r="D21" i="3"/>
  <c r="AF10" i="2"/>
  <c r="D23" i="3"/>
  <c r="AE12" i="2"/>
  <c r="Z12" i="2"/>
  <c r="Z25" i="2"/>
  <c r="AE25" i="2" s="1"/>
  <c r="D6" i="5"/>
  <c r="F6" i="5" s="1"/>
  <c r="Z6" i="2"/>
  <c r="Z15" i="2"/>
  <c r="AE15" i="2" s="1"/>
  <c r="Z20" i="2"/>
  <c r="AE20" i="2" s="1"/>
  <c r="AF23" i="2"/>
  <c r="D28" i="3"/>
  <c r="AE28" i="2"/>
  <c r="AE32" i="2"/>
  <c r="C26" i="3"/>
  <c r="P14" i="4"/>
  <c r="Z19" i="2"/>
  <c r="AE19" i="2" s="1"/>
  <c r="Z23" i="2"/>
  <c r="AE23" i="2" s="1"/>
  <c r="P9" i="4"/>
  <c r="P16" i="4"/>
  <c r="Z13" i="2"/>
  <c r="AE13" i="2" s="1"/>
  <c r="Z18" i="2"/>
  <c r="AE18" i="2" s="1"/>
  <c r="Z26" i="2"/>
  <c r="AE26" i="2" s="1"/>
  <c r="C28" i="3"/>
  <c r="D11" i="5"/>
  <c r="F11" i="5" s="1"/>
  <c r="AF7" i="2"/>
  <c r="D20" i="3"/>
  <c r="AF9" i="2"/>
  <c r="C22" i="3" s="1"/>
  <c r="D22" i="3"/>
  <c r="Z16" i="2"/>
  <c r="AE16" i="2" s="1"/>
  <c r="AE21" i="2"/>
  <c r="Z21" i="2"/>
  <c r="AF24" i="2"/>
  <c r="AG24" i="2" s="1"/>
  <c r="D25" i="3"/>
  <c r="O17" i="4"/>
  <c r="O6" i="4"/>
  <c r="Z28" i="2"/>
  <c r="Z29" i="2"/>
  <c r="AE29" i="2" s="1"/>
  <c r="Z30" i="2"/>
  <c r="AE30" i="2" s="1"/>
  <c r="Z31" i="2"/>
  <c r="AE31" i="2" s="1"/>
  <c r="Z32" i="2"/>
  <c r="Z33" i="2"/>
  <c r="AE33" i="2" s="1"/>
  <c r="C21" i="3" l="1"/>
  <c r="B21" i="3"/>
  <c r="AG8" i="2"/>
  <c r="C23" i="3"/>
  <c r="B23" i="3"/>
  <c r="AG10" i="2"/>
  <c r="C27" i="3"/>
  <c r="B27" i="3"/>
  <c r="AG14" i="2"/>
  <c r="B20" i="3"/>
  <c r="AG7" i="2"/>
  <c r="B25" i="3"/>
  <c r="C25" i="3"/>
  <c r="B28" i="3"/>
  <c r="AG23" i="2"/>
  <c r="AF6" i="2"/>
  <c r="C10" i="3" s="1"/>
  <c r="B10" i="3"/>
  <c r="X34" i="2"/>
  <c r="D24" i="3"/>
  <c r="D29" i="3" s="1"/>
  <c r="A6" i="3"/>
  <c r="B26" i="3"/>
  <c r="AG12" i="2"/>
  <c r="D7" i="5"/>
  <c r="F7" i="5" s="1"/>
  <c r="C20" i="3"/>
  <c r="B22" i="3"/>
  <c r="AG9" i="2"/>
  <c r="AE6" i="2"/>
  <c r="AE34" i="2" l="1"/>
  <c r="D12" i="5"/>
  <c r="B13" i="3"/>
  <c r="C12" i="3"/>
  <c r="E6" i="3"/>
  <c r="B12" i="3"/>
  <c r="D6" i="3"/>
  <c r="C14" i="3"/>
  <c r="B24" i="3"/>
  <c r="B29" i="3" s="1"/>
  <c r="B14" i="3"/>
  <c r="C11" i="3"/>
  <c r="B6" i="3"/>
  <c r="C6" i="3" s="1"/>
  <c r="C13" i="3"/>
  <c r="B11" i="3"/>
  <c r="B15" i="3" s="1"/>
  <c r="AG6" i="2"/>
  <c r="C24" i="3"/>
  <c r="C29" i="3" s="1"/>
  <c r="K40" i="3" l="1"/>
  <c r="K37" i="3"/>
  <c r="K42" i="3"/>
  <c r="K34" i="3"/>
  <c r="K39" i="3"/>
  <c r="K44" i="3"/>
  <c r="K36" i="3"/>
  <c r="K41" i="3"/>
  <c r="K33" i="3"/>
  <c r="K38" i="3"/>
  <c r="K43" i="3"/>
  <c r="K35" i="3"/>
  <c r="D12" i="3"/>
  <c r="C15" i="3"/>
  <c r="D11" i="3"/>
  <c r="D14" i="3"/>
  <c r="D13" i="3"/>
  <c r="H41" i="3" l="1"/>
  <c r="J41" i="3" s="1"/>
  <c r="G41" i="3"/>
  <c r="F41" i="3"/>
  <c r="E41" i="3"/>
  <c r="D41" i="3"/>
  <c r="C41" i="3"/>
  <c r="B41" i="3"/>
  <c r="I41" i="3"/>
  <c r="A41" i="3"/>
  <c r="G36" i="3"/>
  <c r="F36" i="3"/>
  <c r="E36" i="3"/>
  <c r="D36" i="3"/>
  <c r="C36" i="3"/>
  <c r="B36" i="3"/>
  <c r="I36" i="3"/>
  <c r="A36" i="3"/>
  <c r="H36" i="3"/>
  <c r="J36" i="3" s="1"/>
  <c r="J35" i="3"/>
  <c r="B35" i="3"/>
  <c r="I35" i="3"/>
  <c r="A35" i="3"/>
  <c r="H35" i="3"/>
  <c r="G35" i="3"/>
  <c r="F35" i="3"/>
  <c r="E35" i="3"/>
  <c r="D35" i="3"/>
  <c r="C35" i="3"/>
  <c r="I38" i="3"/>
  <c r="A38" i="3"/>
  <c r="H38" i="3"/>
  <c r="J38" i="3" s="1"/>
  <c r="G38" i="3"/>
  <c r="F38" i="3"/>
  <c r="E38" i="3"/>
  <c r="D38" i="3"/>
  <c r="C38" i="3"/>
  <c r="B38" i="3"/>
  <c r="H33" i="3"/>
  <c r="J33" i="3" s="1"/>
  <c r="G33" i="3"/>
  <c r="F33" i="3"/>
  <c r="E33" i="3"/>
  <c r="D33" i="3"/>
  <c r="C33" i="3"/>
  <c r="B33" i="3"/>
  <c r="I33" i="3"/>
  <c r="A33" i="3"/>
  <c r="C16" i="3"/>
  <c r="D10" i="3"/>
  <c r="D15" i="3" s="1"/>
  <c r="G44" i="3"/>
  <c r="F44" i="3"/>
  <c r="E44" i="3"/>
  <c r="D44" i="3"/>
  <c r="C44" i="3"/>
  <c r="J44" i="3"/>
  <c r="B44" i="3"/>
  <c r="I44" i="3"/>
  <c r="A44" i="3"/>
  <c r="H44" i="3"/>
  <c r="F39" i="3"/>
  <c r="E39" i="3"/>
  <c r="D39" i="3"/>
  <c r="C39" i="3"/>
  <c r="B39" i="3"/>
  <c r="I39" i="3"/>
  <c r="A39" i="3"/>
  <c r="H39" i="3"/>
  <c r="J39" i="3" s="1"/>
  <c r="G39" i="3"/>
  <c r="E34" i="3"/>
  <c r="D34" i="3"/>
  <c r="C34" i="3"/>
  <c r="J34" i="3"/>
  <c r="B34" i="3"/>
  <c r="I34" i="3"/>
  <c r="A34" i="3"/>
  <c r="H34" i="3"/>
  <c r="G34" i="3"/>
  <c r="F34" i="3"/>
  <c r="B43" i="3"/>
  <c r="I43" i="3"/>
  <c r="A43" i="3"/>
  <c r="H43" i="3"/>
  <c r="J43" i="3" s="1"/>
  <c r="G43" i="3"/>
  <c r="F43" i="3"/>
  <c r="E43" i="3"/>
  <c r="D43" i="3"/>
  <c r="C43" i="3"/>
  <c r="E42" i="3"/>
  <c r="D42" i="3"/>
  <c r="C42" i="3"/>
  <c r="B42" i="3"/>
  <c r="I42" i="3"/>
  <c r="A42" i="3"/>
  <c r="H42" i="3"/>
  <c r="J42" i="3" s="1"/>
  <c r="G42" i="3"/>
  <c r="F42" i="3"/>
  <c r="D37" i="3"/>
  <c r="C37" i="3"/>
  <c r="B37" i="3"/>
  <c r="I37" i="3"/>
  <c r="A37" i="3"/>
  <c r="H37" i="3"/>
  <c r="J37" i="3" s="1"/>
  <c r="G37" i="3"/>
  <c r="F37" i="3"/>
  <c r="E37" i="3"/>
  <c r="C40" i="3"/>
  <c r="B40" i="3"/>
  <c r="I40" i="3"/>
  <c r="A40" i="3"/>
  <c r="H40" i="3"/>
  <c r="J40" i="3" s="1"/>
  <c r="G40" i="3"/>
  <c r="F40" i="3"/>
  <c r="E40" i="3"/>
  <c r="D40" i="3"/>
</calcChain>
</file>

<file path=xl/sharedStrings.xml><?xml version="1.0" encoding="utf-8"?>
<sst xmlns="http://schemas.openxmlformats.org/spreadsheetml/2006/main" count="627" uniqueCount="333">
  <si>
    <t>SELF-DIRECTED PRACTICE PROJECT. All suppliers, invoices, amounts, employees and approvers are fictional and created for skills practice. This is not professional accounts payable experience.</t>
  </si>
  <si>
    <t>AP Register and Overdue Payables: Practice Project</t>
  </si>
  <si>
    <t>Purpose</t>
  </si>
  <si>
    <t>Practice the daily steps of an accounts payable (AP) clerk on a small, fictional data set, and show the control checks I would run before an invoice is paid.</t>
  </si>
  <si>
    <t>What is inside</t>
  </si>
  <si>
    <t>AP_Register (28 invoices), Expense_Claims (12 employee claims), Overdue_Report (aging, by supplier, action list, chart), Checks (what each flag does and the seeded test cases), Process_Note (the workflow), Lists (suppliers, terms, categories, tax codes).</t>
  </si>
  <si>
    <t>As-of date</t>
  </si>
  <si>
    <t>Set in AP_Register cell D3 (blue). Currently 2026-10-09. Change it and every check and the overdue report recalculates. Type =TODAY() for a live report.</t>
  </si>
  <si>
    <t>Colour code</t>
  </si>
  <si>
    <t>Blue text = typed input. Black = formula. Green = link to another sheet. Red cells in the check columns = exceptions to review.</t>
  </si>
  <si>
    <t>Fictional data</t>
  </si>
  <si>
    <t>Supplier names, invoice numbers, PO numbers, amounts, approvers and employees are invented. Any resemblance to a real company is coincidental. GST at 5% is used for illustration; real tax treatment would be confirmed with an accountant.</t>
  </si>
  <si>
    <t>What this is not</t>
  </si>
  <si>
    <t>It is not professional AP experience and does not use any real employer data. It is a self-directed exercise to practice and show the method.</t>
  </si>
  <si>
    <t>Headline results (as of 2026-10-09)</t>
  </si>
  <si>
    <t>See the Overdue_Report sheet. Results are formulas, so they update with the register.</t>
  </si>
  <si>
    <t>AP Register</t>
  </si>
  <si>
    <t>As-of date:</t>
  </si>
  <si>
    <t>AP #</t>
  </si>
  <si>
    <t>Supplier invoice no.</t>
  </si>
  <si>
    <t>Supplier</t>
  </si>
  <si>
    <t>Invoice date</t>
  </si>
  <si>
    <t>Terms (days)</t>
  </si>
  <si>
    <t>Due date</t>
  </si>
  <si>
    <t>PO number</t>
  </si>
  <si>
    <t>Description</t>
  </si>
  <si>
    <t>Expense category</t>
  </si>
  <si>
    <t>GL code</t>
  </si>
  <si>
    <t>Billable to client?</t>
  </si>
  <si>
    <t>Job / cost centre</t>
  </si>
  <si>
    <t>Net amount ($)</t>
  </si>
  <si>
    <t>Tax code</t>
  </si>
  <si>
    <t>Tax billed ($)</t>
  </si>
  <si>
    <t>Tax expected ($)</t>
  </si>
  <si>
    <t>Total billed ($)</t>
  </si>
  <si>
    <t>Supporting docs (Y/N)</t>
  </si>
  <si>
    <t>Approval status</t>
  </si>
  <si>
    <t>Approver</t>
  </si>
  <si>
    <t>Payment status</t>
  </si>
  <si>
    <t>Payment date</t>
  </si>
  <si>
    <t>Amount paid ($)</t>
  </si>
  <si>
    <t>Balance owing ($)</t>
  </si>
  <si>
    <t>Exact duplicate</t>
  </si>
  <si>
    <t>Probable duplicate</t>
  </si>
  <si>
    <t>Tax variance</t>
  </si>
  <si>
    <t>Missing docs</t>
  </si>
  <si>
    <t>Paid without approval</t>
  </si>
  <si>
    <t>Date check</t>
  </si>
  <si>
    <t>Exceptions (count)</t>
  </si>
  <si>
    <t>Days overdue</t>
  </si>
  <si>
    <t>Overdue key (helper)</t>
  </si>
  <si>
    <t>AP-0001</t>
  </si>
  <si>
    <t>CCF-0871</t>
  </si>
  <si>
    <t>Cinder Creek Fabrication Ltd.</t>
  </si>
  <si>
    <t>PO-4310</t>
  </si>
  <si>
    <t>Fabricated pipe spools, lot 12</t>
  </si>
  <si>
    <t>Subcontractor Services</t>
  </si>
  <si>
    <t>J-102</t>
  </si>
  <si>
    <t>GST5</t>
  </si>
  <si>
    <t>Y</t>
  </si>
  <si>
    <t>On Hold</t>
  </si>
  <si>
    <t>A. Carter</t>
  </si>
  <si>
    <t>Unpaid</t>
  </si>
  <si>
    <t>AP-0002</t>
  </si>
  <si>
    <t>RSS-20418</t>
  </si>
  <si>
    <t>Ridgeline Safety Supply Ltd.</t>
  </si>
  <si>
    <t>PO-4401</t>
  </si>
  <si>
    <t>Hi-vis vests and gloves</t>
  </si>
  <si>
    <t>Safety Supplies</t>
  </si>
  <si>
    <t>Approved</t>
  </si>
  <si>
    <t>J. Nguyen</t>
  </si>
  <si>
    <t>Paid</t>
  </si>
  <si>
    <t>AP-0003</t>
  </si>
  <si>
    <t>BV-5532</t>
  </si>
  <si>
    <t>Bow Valley Office Products Ltd.</t>
  </si>
  <si>
    <t>PO-4405</t>
  </si>
  <si>
    <t>Printer paper and toner</t>
  </si>
  <si>
    <t>Office Supplies</t>
  </si>
  <si>
    <t>AP-0004</t>
  </si>
  <si>
    <t>PF-88120</t>
  </si>
  <si>
    <t>Prairie Fuel &amp; Lube Inc.</t>
  </si>
  <si>
    <t>PO-4412</t>
  </si>
  <si>
    <t>Diesel, site generators</t>
  </si>
  <si>
    <t>Fuel &amp; Lubricants</t>
  </si>
  <si>
    <t>J-101</t>
  </si>
  <si>
    <t>R. Singh</t>
  </si>
  <si>
    <t>AP-0005</t>
  </si>
  <si>
    <t>FER-3307</t>
  </si>
  <si>
    <t>Foothills Equipment Rentals Ltd.</t>
  </si>
  <si>
    <t>PO-4420</t>
  </si>
  <si>
    <t>Telehandler rental, 3 weeks</t>
  </si>
  <si>
    <t>Equipment Rental (Job)</t>
  </si>
  <si>
    <t>J-103</t>
  </si>
  <si>
    <t>AP-0006</t>
  </si>
  <si>
    <t>CCF-0902</t>
  </si>
  <si>
    <t>PO-4398</t>
  </si>
  <si>
    <t>Pressure vessel repair</t>
  </si>
  <si>
    <t>AP-0007</t>
  </si>
  <si>
    <t>SCF-1190</t>
  </si>
  <si>
    <t>Summit Courier &amp; Freight Ltd.</t>
  </si>
  <si>
    <t>PO-4425</t>
  </si>
  <si>
    <t>Freight, valve shipment</t>
  </si>
  <si>
    <t>Courier &amp; Freight</t>
  </si>
  <si>
    <t>AP-0008</t>
  </si>
  <si>
    <t>RSS-20431</t>
  </si>
  <si>
    <t>PO-4430</t>
  </si>
  <si>
    <t>Fall arrest harnesses (6)</t>
  </si>
  <si>
    <t>AP-0009</t>
  </si>
  <si>
    <t>CJ-3377</t>
  </si>
  <si>
    <t>Clearwater Janitorial Ltd.</t>
  </si>
  <si>
    <t>PO-4433</t>
  </si>
  <si>
    <t>Janitorial service, July</t>
  </si>
  <si>
    <t>Janitorial &amp; Facilities</t>
  </si>
  <si>
    <t>AP-0010</t>
  </si>
  <si>
    <t>Pending</t>
  </si>
  <si>
    <t>AP-0011</t>
  </si>
  <si>
    <t>CCF-0915</t>
  </si>
  <si>
    <t>PO-4436</t>
  </si>
  <si>
    <t>Structural steel, platform</t>
  </si>
  <si>
    <t>Job Materials</t>
  </si>
  <si>
    <t>N</t>
  </si>
  <si>
    <t>AP-0012</t>
  </si>
  <si>
    <t>CJ-3402</t>
  </si>
  <si>
    <t>PO-4441</t>
  </si>
  <si>
    <t>Janitorial service, August</t>
  </si>
  <si>
    <t>AP-0013</t>
  </si>
  <si>
    <t>NG-7710</t>
  </si>
  <si>
    <t>Northgate IT Services Inc.</t>
  </si>
  <si>
    <t>PO-4443</t>
  </si>
  <si>
    <t>Timekeeping software, 25 seats</t>
  </si>
  <si>
    <t>IT &amp; Software</t>
  </si>
  <si>
    <t>Rejected</t>
  </si>
  <si>
    <t>AP-0014</t>
  </si>
  <si>
    <t>RSS-20466</t>
  </si>
  <si>
    <t>PO-4452</t>
  </si>
  <si>
    <t>Gas monitors, calibration gas</t>
  </si>
  <si>
    <t>J-104</t>
  </si>
  <si>
    <t>AP-0015</t>
  </si>
  <si>
    <t>FER-3341</t>
  </si>
  <si>
    <t>PO-4450</t>
  </si>
  <si>
    <t>Scissor lift rental, 2 weeks</t>
  </si>
  <si>
    <t>AP-0016</t>
  </si>
  <si>
    <t>PF-88277</t>
  </si>
  <si>
    <t>PO-4458</t>
  </si>
  <si>
    <t>Diesel and hydraulic oil</t>
  </si>
  <si>
    <t>AP-0017</t>
  </si>
  <si>
    <t>BV-5601</t>
  </si>
  <si>
    <t>PO-4461</t>
  </si>
  <si>
    <t>Binders, safety signage</t>
  </si>
  <si>
    <t>AP-0018</t>
  </si>
  <si>
    <t>PMI-2026-Q3</t>
  </si>
  <si>
    <t>Pinnacle Mutual Insurance Co.</t>
  </si>
  <si>
    <t>PO-4390</t>
  </si>
  <si>
    <t>Commercial liability premium, Q3</t>
  </si>
  <si>
    <t>Insurance</t>
  </si>
  <si>
    <t>EXEMPT</t>
  </si>
  <si>
    <t>AP-0019</t>
  </si>
  <si>
    <t>NG-7752</t>
  </si>
  <si>
    <t>PO-4465</t>
  </si>
  <si>
    <t>Cloud backup, September</t>
  </si>
  <si>
    <t>Partially Paid</t>
  </si>
  <si>
    <t>AP-0020</t>
  </si>
  <si>
    <t>RSS-20431A</t>
  </si>
  <si>
    <t>AP-0021</t>
  </si>
  <si>
    <t>SCF-1241</t>
  </si>
  <si>
    <t>PO-4474</t>
  </si>
  <si>
    <t>Freight, fabricated spools</t>
  </si>
  <si>
    <t>AP-0022</t>
  </si>
  <si>
    <t>BV-5640</t>
  </si>
  <si>
    <t>PO-4480</t>
  </si>
  <si>
    <t>Ergonomic chairs (4)</t>
  </si>
  <si>
    <t>Scheduled</t>
  </si>
  <si>
    <t>AP-0023</t>
  </si>
  <si>
    <t>CCF-0951</t>
  </si>
  <si>
    <t>PO-4468</t>
  </si>
  <si>
    <t>Pipe supports, 40 units</t>
  </si>
  <si>
    <t>AP-0024</t>
  </si>
  <si>
    <t>PF-88391</t>
  </si>
  <si>
    <t>PO-4471</t>
  </si>
  <si>
    <t>AP-0025</t>
  </si>
  <si>
    <t>PF-88455</t>
  </si>
  <si>
    <t>PO-4486</t>
  </si>
  <si>
    <t>AP-0026</t>
  </si>
  <si>
    <t>NG-7801</t>
  </si>
  <si>
    <t>PO-4490</t>
  </si>
  <si>
    <t>Cloud backup, October</t>
  </si>
  <si>
    <t>AP-0027</t>
  </si>
  <si>
    <t>FER-3388</t>
  </si>
  <si>
    <t>PO-4492</t>
  </si>
  <si>
    <t>Crane rental, 5 days</t>
  </si>
  <si>
    <t>AP-0028</t>
  </si>
  <si>
    <t>PMI-2026-Q4</t>
  </si>
  <si>
    <t>PO-4495</t>
  </si>
  <si>
    <t>Commercial liability premium, Q4</t>
  </si>
  <si>
    <t>Totals</t>
  </si>
  <si>
    <t>Overdue Payables Report</t>
  </si>
  <si>
    <t>Aging of unpaid supplier invoices. Every figure is a formula on AP_Register.</t>
  </si>
  <si>
    <t>Total outstanding ($)</t>
  </si>
  <si>
    <t>Overdue balance ($)</t>
  </si>
  <si>
    <t>Overdue as % of outstanding</t>
  </si>
  <si>
    <t>Overdue invoices (#)</t>
  </si>
  <si>
    <t>Oldest overdue (days)</t>
  </si>
  <si>
    <t>Aging of outstanding balances</t>
  </si>
  <si>
    <t>Bucket</t>
  </si>
  <si>
    <t># invoices</t>
  </si>
  <si>
    <t>Balance ($)</t>
  </si>
  <si>
    <t>% of outstanding</t>
  </si>
  <si>
    <t>Not yet due</t>
  </si>
  <si>
    <t>1 to 30 days overdue</t>
  </si>
  <si>
    <t>31 to 60 days overdue</t>
  </si>
  <si>
    <t>61 to 90 days overdue</t>
  </si>
  <si>
    <t>Over 90 days overdue</t>
  </si>
  <si>
    <t>Total</t>
  </si>
  <si>
    <t>Check: buckets = register balance</t>
  </si>
  <si>
    <t>Overdue by supplier</t>
  </si>
  <si>
    <t>Overdue invoices</t>
  </si>
  <si>
    <t>Overdue invoices, oldest first (action list)</t>
  </si>
  <si>
    <t>Rank</t>
  </si>
  <si>
    <t>Invoice no.</t>
  </si>
  <si>
    <t>Approval</t>
  </si>
  <si>
    <t>Suggested next step</t>
  </si>
  <si>
    <t>(row)</t>
  </si>
  <si>
    <t>SELF-DIRECTED PRACTICE PROJECT. All suppliers, invoices, amounts, employees and approvers are fictional and created for skills practice. This is not professional accounts payable experience. Policy limits are invented.</t>
  </si>
  <si>
    <t>Employee Expense Claims (fictional)</t>
  </si>
  <si>
    <t>Claim ID</t>
  </si>
  <si>
    <t>Employee</t>
  </si>
  <si>
    <t>Expense date</t>
  </si>
  <si>
    <t>Submitted date</t>
  </si>
  <si>
    <t>Category</t>
  </si>
  <si>
    <t>Amount claimed ($)</t>
  </si>
  <si>
    <t>Receipt attached (Y/N)</t>
  </si>
  <si>
    <t>Policy limit ($)</t>
  </si>
  <si>
    <t>Over limit?</t>
  </si>
  <si>
    <t>Missing receipt?</t>
  </si>
  <si>
    <t>Late submission?</t>
  </si>
  <si>
    <t>Possible duplicate?</t>
  </si>
  <si>
    <t>Reimbursable now ($)</t>
  </si>
  <si>
    <t>Action</t>
  </si>
  <si>
    <t>EC-001</t>
  </si>
  <si>
    <t>E-Clark</t>
  </si>
  <si>
    <t>Meals</t>
  </si>
  <si>
    <t>Crew lunch, site visit</t>
  </si>
  <si>
    <t>EC-002</t>
  </si>
  <si>
    <t>Parking</t>
  </si>
  <si>
    <t>Downtown client meeting</t>
  </si>
  <si>
    <t>EC-003</t>
  </si>
  <si>
    <t>E-Dube</t>
  </si>
  <si>
    <t>Lodging</t>
  </si>
  <si>
    <t>Hotel, Fort McMurray, 1 night</t>
  </si>
  <si>
    <t>EC-004</t>
  </si>
  <si>
    <t>Dinner, Fort McMurray</t>
  </si>
  <si>
    <t>EC-005</t>
  </si>
  <si>
    <t>E-Evans</t>
  </si>
  <si>
    <t>Supplies</t>
  </si>
  <si>
    <t>Hand tools, small</t>
  </si>
  <si>
    <t>EC-006</t>
  </si>
  <si>
    <t>Taxi / Rideshare</t>
  </si>
  <si>
    <t>Airport to office</t>
  </si>
  <si>
    <t>EC-007</t>
  </si>
  <si>
    <t>E-Fraser</t>
  </si>
  <si>
    <t>Client Entertainment</t>
  </si>
  <si>
    <t>Client lunch, 4 people</t>
  </si>
  <si>
    <t>EC-008</t>
  </si>
  <si>
    <t>EC-009</t>
  </si>
  <si>
    <t>E-Gill</t>
  </si>
  <si>
    <t>Working lunch</t>
  </si>
  <si>
    <t>EC-010</t>
  </si>
  <si>
    <t>Parkade, 2 days</t>
  </si>
  <si>
    <t>EC-011</t>
  </si>
  <si>
    <t>E-Hart</t>
  </si>
  <si>
    <t>Safety glasses, replacements</t>
  </si>
  <si>
    <t>EC-012</t>
  </si>
  <si>
    <t>Late shift ride home</t>
  </si>
  <si>
    <t>Control checks and seeded test cases</t>
  </si>
  <si>
    <t>Each check is a formula column in AP_Register. The register was seeded with known problems so every check can be seen working.</t>
  </si>
  <si>
    <t>Check</t>
  </si>
  <si>
    <t>What it catches</t>
  </si>
  <si>
    <t>How it works</t>
  </si>
  <si>
    <t>Flagged (formula)</t>
  </si>
  <si>
    <t>Seeded cases (expected)</t>
  </si>
  <si>
    <t>Result</t>
  </si>
  <si>
    <t>Same supplier and same invoice number entered twice</t>
  </si>
  <si>
    <t>COUNTIFS on supplier + invoice no. over rows above; the later entry is flagged</t>
  </si>
  <si>
    <t>Same supplier and same total billed within 14 days, different invoice number</t>
  </si>
  <si>
    <t>COUNTIFS on supplier + total + invoice date window over rows above, ignoring exact duplicates; monthly recurring bills are not flagged</t>
  </si>
  <si>
    <t>Tax billed differs from rate x net by more than 1 cent</t>
  </si>
  <si>
    <t>ROUND(net x rate from tax-code table) compared with tax billed</t>
  </si>
  <si>
    <t>Missing supporting docs</t>
  </si>
  <si>
    <t>No PO, receipt or packing slip on file</t>
  </si>
  <si>
    <t>Supporting docs column is not Y</t>
  </si>
  <si>
    <t>Payment status Paid while approval is not Approved</t>
  </si>
  <si>
    <t>Payment status and approval status compared</t>
  </si>
  <si>
    <t>Invoice dated after the as-of date, or due date before invoice date</t>
  </si>
  <si>
    <t>Dates compared with the as-of date</t>
  </si>
  <si>
    <t>Invoices with at least one exception</t>
  </si>
  <si>
    <t>Invoices tested</t>
  </si>
  <si>
    <t>SEEDED TEST CASES</t>
  </si>
  <si>
    <t>AP-0010 repeats the supplier invoice number of AP-0007 (exact duplicate). AP-0020 has the same supplier, same total and a date 4 days from AP-0008, but a different invoice number (probable duplicate).</t>
  </si>
  <si>
    <t>AP-0015 charges $120 tax on $2,000 (expected $100). AP-0018 charges GST on an exempt insurance premium. AP-0011 and AP-0024 have no supporting documents. AP-0016 is marked Paid while approval is Pending. AP-0028 is dated after the as-of date.</t>
  </si>
  <si>
    <t>Recurring monthly bills with identical amounts (for example cloud backup, janitorial, diesel) are legitimate and are not flagged, because the probable-duplicate check uses a 14-day window.</t>
  </si>
  <si>
    <t>A flag means a person must look at the invoice before paying. It does not mean the invoice is wrong.</t>
  </si>
  <si>
    <t>Process note: how I handle a supplier invoice</t>
  </si>
  <si>
    <t>Step</t>
  </si>
  <si>
    <t>What I do</t>
  </si>
  <si>
    <t>1. Receive and log</t>
  </si>
  <si>
    <t>Assign an AP number. Record supplier, invoice number, invoice date, PO number, net, tax and total exactly as billed.</t>
  </si>
  <si>
    <t>2. Check for duplicates</t>
  </si>
  <si>
    <t>Same supplier and invoice number, or same supplier and amount. A duplicate is never entered for payment; it is returned to the supplier or queried.</t>
  </si>
  <si>
    <t>3. Check supporting documents</t>
  </si>
  <si>
    <t>Is there a PO, receipt or packing slip that matches the invoice? If not, the invoice is held and the requester is asked for it.</t>
  </si>
  <si>
    <t>4. Check the tax</t>
  </si>
  <si>
    <t>Recalculate tax from the net amount and the tax code. Variances are queried with the supplier, not corrected by me.</t>
  </si>
  <si>
    <t>5. Code the expense</t>
  </si>
  <si>
    <t>Choose the category and look up the GL code. Mark whether the cost is billable to a client (job costs) or non-billable (overhead). Job costs carry a job code so they can be re-billed.</t>
  </si>
  <si>
    <t>6. Route for approval</t>
  </si>
  <si>
    <t>Send to the approver. An invoice is not paid until it is Approved.</t>
  </si>
  <si>
    <t>7. Schedule and pay</t>
  </si>
  <si>
    <t>Pay on the due date in the next payment run. Record payment date and amount. Partial payments leave a balance.</t>
  </si>
  <si>
    <t>8. Report</t>
  </si>
  <si>
    <t>Run the aging report weekly. Overdue items get a next step: chase approval, resolve a dispute, obtain documents or schedule payment.</t>
  </si>
  <si>
    <t>Employee expense claims</t>
  </si>
  <si>
    <t>Check receipt, policy limit, submission window and duplicates. Over-limit, late or receipt-less claims are held for the manager, not paid or rejected by me.</t>
  </si>
  <si>
    <t>Assumptions and limits</t>
  </si>
  <si>
    <t>GST 5% is illustrative. No multi-currency, no purchase-order matching beyond the PO number, no real bank or ERP system. Approval limits and policy limits are invented. This is a practice exercise.</t>
  </si>
  <si>
    <t>Tax questions, disputed amounts, repeated duplicates from one supplier, payments requested without approval, and anything over a manager's approval limit.</t>
  </si>
  <si>
    <t>Lists and lookup tables (fictional)</t>
  </si>
  <si>
    <t>Rate</t>
  </si>
  <si>
    <t>Policy limits for expense claims (fictional)</t>
  </si>
  <si>
    <t>Claim category</t>
  </si>
  <si>
    <t>Limit per claim ($)</t>
  </si>
  <si>
    <t>Late-submission window (days)</t>
  </si>
  <si>
    <t>Supplier invoice processing, expense coding, payment tracking, duplicate checks, overdue report</t>
  </si>
  <si>
    <t>What to escalate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</si>
</sst>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0.0000"/>
    <numFmt numFmtId="166" formatCode="\$#,##0"/>
    <numFmt numFmtId="167" formatCode="0.0%"/>
    <numFmt numFmtId="168" formatCode="\$#,##0.00"/>
  </numFmts>
  <fonts count="12" x14ac:knownFonts="1">
    <font>
      <sz val="11"/>
      <color theme="1"/>
      <name val="Calibri"/>
      <family val="2"/>
      <charset val="1"/>
    </font>
    <font>
      <b/>
      <sz val="10"/>
      <color rgb="FF7F6000"/>
      <name val="Arial"/>
      <family val="2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FFFFFF"/>
      <name val="Arial"/>
      <family val="2"/>
    </font>
    <font>
      <sz val="10"/>
      <color rgb="FF008000"/>
      <name val="Arial"/>
      <family val="2"/>
    </font>
    <font>
      <b/>
      <sz val="10"/>
      <color rgb="FF008000"/>
      <name val="Arial"/>
      <family val="2"/>
    </font>
    <font>
      <b/>
      <sz val="13"/>
      <color rgb="FF1F3864"/>
      <name val="Arial"/>
      <family val="2"/>
    </font>
    <font>
      <sz val="8"/>
      <color rgb="FFA6A6A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9F9F9"/>
      </patternFill>
    </fill>
    <fill>
      <patternFill patternType="solid">
        <fgColor rgb="FFFFFF99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/>
    <xf numFmtId="164" fontId="6" fillId="3" borderId="1" xfId="0" applyNumberFormat="1" applyFont="1" applyFill="1" applyBorder="1"/>
    <xf numFmtId="0" fontId="7" fillId="4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6" fillId="0" borderId="1" xfId="0" applyFont="1" applyBorder="1"/>
    <xf numFmtId="164" fontId="6" fillId="0" borderId="1" xfId="0" applyNumberFormat="1" applyFont="1" applyBorder="1"/>
    <xf numFmtId="0" fontId="8" fillId="0" borderId="1" xfId="0" applyFont="1" applyBorder="1"/>
    <xf numFmtId="164" fontId="5" fillId="0" borderId="1" xfId="0" applyNumberFormat="1" applyFont="1" applyBorder="1"/>
    <xf numFmtId="4" fontId="6" fillId="0" borderId="1" xfId="0" applyNumberFormat="1" applyFont="1" applyBorder="1"/>
    <xf numFmtId="4" fontId="8" fillId="0" borderId="1" xfId="0" applyNumberFormat="1" applyFont="1" applyBorder="1"/>
    <xf numFmtId="4" fontId="5" fillId="0" borderId="1" xfId="0" applyNumberFormat="1" applyFont="1" applyBorder="1"/>
    <xf numFmtId="1" fontId="5" fillId="0" borderId="1" xfId="0" applyNumberFormat="1" applyFont="1" applyBorder="1"/>
    <xf numFmtId="165" fontId="5" fillId="0" borderId="1" xfId="0" applyNumberFormat="1" applyFont="1" applyBorder="1"/>
    <xf numFmtId="4" fontId="4" fillId="0" borderId="1" xfId="0" applyNumberFormat="1" applyFont="1" applyBorder="1"/>
    <xf numFmtId="1" fontId="4" fillId="0" borderId="1" xfId="0" applyNumberFormat="1" applyFont="1" applyBorder="1"/>
    <xf numFmtId="164" fontId="9" fillId="0" borderId="1" xfId="0" applyNumberFormat="1" applyFont="1" applyBorder="1"/>
    <xf numFmtId="166" fontId="10" fillId="0" borderId="1" xfId="0" applyNumberFormat="1" applyFont="1" applyBorder="1" applyAlignment="1">
      <alignment horizontal="center" vertical="center"/>
    </xf>
    <xf numFmtId="167" fontId="10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/>
    <xf numFmtId="166" fontId="8" fillId="0" borderId="1" xfId="0" applyNumberFormat="1" applyFont="1" applyBorder="1"/>
    <xf numFmtId="167" fontId="5" fillId="0" borderId="1" xfId="0" applyNumberFormat="1" applyFont="1" applyBorder="1"/>
    <xf numFmtId="166" fontId="4" fillId="0" borderId="1" xfId="0" applyNumberFormat="1" applyFont="1" applyBorder="1"/>
    <xf numFmtId="167" fontId="4" fillId="0" borderId="1" xfId="0" applyNumberFormat="1" applyFont="1" applyBorder="1"/>
    <xf numFmtId="164" fontId="8" fillId="0" borderId="1" xfId="0" applyNumberFormat="1" applyFont="1" applyBorder="1"/>
    <xf numFmtId="168" fontId="8" fillId="0" borderId="1" xfId="0" applyNumberFormat="1" applyFont="1" applyBorder="1"/>
    <xf numFmtId="1" fontId="11" fillId="0" borderId="1" xfId="0" applyNumberFormat="1" applyFont="1" applyBorder="1"/>
    <xf numFmtId="3" fontId="8" fillId="0" borderId="1" xfId="0" applyNumberFormat="1" applyFont="1" applyBorder="1"/>
    <xf numFmtId="1" fontId="6" fillId="0" borderId="1" xfId="0" applyNumberFormat="1" applyFont="1" applyBorder="1"/>
    <xf numFmtId="1" fontId="9" fillId="0" borderId="1" xfId="0" applyNumberFormat="1" applyFont="1" applyBorder="1"/>
    <xf numFmtId="167" fontId="6" fillId="0" borderId="1" xfId="0" applyNumberFormat="1" applyFont="1" applyBorder="1"/>
    <xf numFmtId="166" fontId="6" fillId="0" borderId="1" xfId="0" applyNumberFormat="1" applyFont="1" applyBorder="1"/>
    <xf numFmtId="0" fontId="1" fillId="2" borderId="0" xfId="0" applyFont="1" applyFill="1" applyAlignment="1">
      <alignment vertical="center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7"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78787"/>
      <rgbColor rgb="FF9999FF"/>
      <rgbColor rgb="FF993366"/>
      <rgbColor rgb="FFFFF2C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Outstanding balance by aging bucket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Overdue_Report!$C$9</c:f>
              <c:strCache>
                <c:ptCount val="1"/>
                <c:pt idx="0">
                  <c:v>Balance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Overdue_Report!$A$10:$A$14</c:f>
              <c:strCache>
                <c:ptCount val="5"/>
                <c:pt idx="0">
                  <c:v>Not yet due</c:v>
                </c:pt>
                <c:pt idx="1">
                  <c:v>1 to 30 days overdue</c:v>
                </c:pt>
                <c:pt idx="2">
                  <c:v>31 to 60 days overdue</c:v>
                </c:pt>
                <c:pt idx="3">
                  <c:v>61 to 90 days overdue</c:v>
                </c:pt>
                <c:pt idx="4">
                  <c:v>Over 90 days overdue</c:v>
                </c:pt>
              </c:strCache>
            </c:strRef>
          </c:cat>
          <c:val>
            <c:numRef>
              <c:f>Overdue_Report!$C$10:$C$14</c:f>
              <c:numCache>
                <c:formatCode>\$#,##0</c:formatCode>
                <c:ptCount val="5"/>
                <c:pt idx="0">
                  <c:v>25294.25</c:v>
                </c:pt>
                <c:pt idx="1">
                  <c:v>9782.15</c:v>
                </c:pt>
                <c:pt idx="2">
                  <c:v>25585.879999999997</c:v>
                </c:pt>
                <c:pt idx="3">
                  <c:v>10290</c:v>
                </c:pt>
                <c:pt idx="4">
                  <c:v>14962.5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3C-4B8E-A8A6-349CF69E6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860699"/>
        <c:axId val="3117604"/>
      </c:barChart>
      <c:catAx>
        <c:axId val="448606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17604"/>
        <c:crosses val="autoZero"/>
        <c:auto val="1"/>
        <c:lblAlgn val="ctr"/>
        <c:lblOffset val="100"/>
        <c:noMultiLvlLbl val="0"/>
      </c:catAx>
      <c:valAx>
        <c:axId val="31176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8606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6</xdr:row>
      <xdr:rowOff>160560</xdr:rowOff>
    </xdr:from>
    <xdr:to>
      <xdr:col>10</xdr:col>
      <xdr:colOff>57960</xdr:colOff>
      <xdr:row>19</xdr:row>
      <xdr:rowOff>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1"/>
  <sheetViews>
    <sheetView tabSelected="1" zoomScaleNormal="100" workbookViewId="0">
      <selection activeCell="B15" sqref="B15"/>
    </sheetView>
  </sheetViews>
  <sheetFormatPr defaultColWidth="8.7109375" defaultRowHeight="15" x14ac:dyDescent="0.25"/>
  <cols>
    <col min="1" max="1" width="34" customWidth="1"/>
    <col min="2" max="2" width="95" customWidth="1"/>
  </cols>
  <sheetData>
    <row r="1" spans="1:6" ht="30" customHeight="1" x14ac:dyDescent="0.25">
      <c r="A1" s="37" t="s">
        <v>0</v>
      </c>
      <c r="B1" s="37"/>
      <c r="C1" s="37"/>
      <c r="D1" s="37"/>
      <c r="E1" s="37"/>
      <c r="F1" s="37"/>
    </row>
    <row r="2" spans="1:6" ht="18" x14ac:dyDescent="0.25">
      <c r="A2" s="1" t="s">
        <v>1</v>
      </c>
    </row>
    <row r="3" spans="1:6" x14ac:dyDescent="0.25">
      <c r="A3" s="2" t="s">
        <v>331</v>
      </c>
    </row>
    <row r="5" spans="1:6" ht="43.5" customHeight="1" x14ac:dyDescent="0.25">
      <c r="A5" s="3" t="s">
        <v>2</v>
      </c>
      <c r="B5" s="4" t="s">
        <v>3</v>
      </c>
    </row>
    <row r="6" spans="1:6" ht="43.5" customHeight="1" x14ac:dyDescent="0.25">
      <c r="A6" s="3" t="s">
        <v>4</v>
      </c>
      <c r="B6" s="4" t="s">
        <v>5</v>
      </c>
    </row>
    <row r="7" spans="1:6" ht="43.5" customHeight="1" x14ac:dyDescent="0.25">
      <c r="A7" s="3" t="s">
        <v>6</v>
      </c>
      <c r="B7" s="4" t="s">
        <v>7</v>
      </c>
    </row>
    <row r="8" spans="1:6" ht="43.5" customHeight="1" x14ac:dyDescent="0.25">
      <c r="A8" s="3" t="s">
        <v>8</v>
      </c>
      <c r="B8" s="4" t="s">
        <v>9</v>
      </c>
    </row>
    <row r="9" spans="1:6" ht="43.5" customHeight="1" x14ac:dyDescent="0.25">
      <c r="A9" s="3" t="s">
        <v>10</v>
      </c>
      <c r="B9" s="4" t="s">
        <v>11</v>
      </c>
    </row>
    <row r="10" spans="1:6" ht="43.5" customHeight="1" x14ac:dyDescent="0.25">
      <c r="A10" s="3" t="s">
        <v>12</v>
      </c>
      <c r="B10" s="4" t="s">
        <v>13</v>
      </c>
    </row>
    <row r="11" spans="1:6" ht="43.5" customHeight="1" x14ac:dyDescent="0.25">
      <c r="A11" s="3" t="s">
        <v>14</v>
      </c>
      <c r="B11" s="4" t="s">
        <v>15</v>
      </c>
    </row>
  </sheetData>
  <mergeCells count="1">
    <mergeCell ref="A1:F1"/>
  </mergeCells>
  <printOptions horizontalCentered="1"/>
  <pageMargins left="0.4" right="0.4" top="0.5" bottom="0.5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G34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15" sqref="D15"/>
    </sheetView>
  </sheetViews>
  <sheetFormatPr defaultColWidth="8.7109375" defaultRowHeight="15" x14ac:dyDescent="0.25"/>
  <cols>
    <col min="1" max="1" width="9" customWidth="1"/>
    <col min="2" max="2" width="16" customWidth="1"/>
    <col min="3" max="3" width="30" customWidth="1"/>
    <col min="4" max="4" width="11" customWidth="1"/>
    <col min="5" max="5" width="8" customWidth="1"/>
    <col min="6" max="6" width="11" customWidth="1"/>
    <col min="7" max="7" width="10" customWidth="1"/>
    <col min="8" max="8" width="30" customWidth="1"/>
    <col min="9" max="9" width="22" customWidth="1"/>
    <col min="10" max="10" width="8" customWidth="1"/>
    <col min="11" max="12" width="10" customWidth="1"/>
    <col min="13" max="13" width="12" customWidth="1"/>
    <col min="14" max="14" width="9" customWidth="1"/>
    <col min="15" max="16" width="11" customWidth="1"/>
    <col min="17" max="17" width="12" customWidth="1"/>
    <col min="18" max="19" width="11" customWidth="1"/>
    <col min="20" max="20" width="10" customWidth="1"/>
    <col min="21" max="21" width="13" customWidth="1"/>
    <col min="22" max="22" width="11" customWidth="1"/>
    <col min="23" max="26" width="12" customWidth="1"/>
    <col min="27" max="28" width="10" customWidth="1"/>
    <col min="29" max="29" width="12" customWidth="1"/>
    <col min="30" max="30" width="9" customWidth="1"/>
    <col min="31" max="31" width="10" customWidth="1"/>
    <col min="32" max="32" width="9" customWidth="1"/>
    <col min="33" max="33" width="11" customWidth="1"/>
  </cols>
  <sheetData>
    <row r="1" spans="1:33" ht="30" customHeight="1" x14ac:dyDescent="0.2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</row>
    <row r="2" spans="1:33" ht="18" x14ac:dyDescent="0.25">
      <c r="A2" s="1" t="s">
        <v>16</v>
      </c>
    </row>
    <row r="3" spans="1:33" x14ac:dyDescent="0.25">
      <c r="A3" s="5" t="s">
        <v>17</v>
      </c>
      <c r="D3" s="6">
        <v>46304</v>
      </c>
    </row>
    <row r="5" spans="1:33" ht="43.5" customHeight="1" x14ac:dyDescent="0.25">
      <c r="A5" s="7" t="s">
        <v>18</v>
      </c>
      <c r="B5" s="7" t="s">
        <v>19</v>
      </c>
      <c r="C5" s="7" t="s">
        <v>20</v>
      </c>
      <c r="D5" s="7" t="s">
        <v>21</v>
      </c>
      <c r="E5" s="7" t="s">
        <v>22</v>
      </c>
      <c r="F5" s="7" t="s">
        <v>23</v>
      </c>
      <c r="G5" s="7" t="s">
        <v>24</v>
      </c>
      <c r="H5" s="7" t="s">
        <v>25</v>
      </c>
      <c r="I5" s="7" t="s">
        <v>26</v>
      </c>
      <c r="J5" s="7" t="s">
        <v>27</v>
      </c>
      <c r="K5" s="7" t="s">
        <v>28</v>
      </c>
      <c r="L5" s="7" t="s">
        <v>29</v>
      </c>
      <c r="M5" s="7" t="s">
        <v>30</v>
      </c>
      <c r="N5" s="7" t="s">
        <v>31</v>
      </c>
      <c r="O5" s="7" t="s">
        <v>32</v>
      </c>
      <c r="P5" s="7" t="s">
        <v>33</v>
      </c>
      <c r="Q5" s="7" t="s">
        <v>34</v>
      </c>
      <c r="R5" s="7" t="s">
        <v>35</v>
      </c>
      <c r="S5" s="7" t="s">
        <v>36</v>
      </c>
      <c r="T5" s="7" t="s">
        <v>37</v>
      </c>
      <c r="U5" s="7" t="s">
        <v>38</v>
      </c>
      <c r="V5" s="7" t="s">
        <v>39</v>
      </c>
      <c r="W5" s="7" t="s">
        <v>40</v>
      </c>
      <c r="X5" s="7" t="s">
        <v>41</v>
      </c>
      <c r="Y5" s="7" t="s">
        <v>42</v>
      </c>
      <c r="Z5" s="7" t="s">
        <v>43</v>
      </c>
      <c r="AA5" s="7" t="s">
        <v>44</v>
      </c>
      <c r="AB5" s="7" t="s">
        <v>45</v>
      </c>
      <c r="AC5" s="7" t="s">
        <v>46</v>
      </c>
      <c r="AD5" s="7" t="s">
        <v>47</v>
      </c>
      <c r="AE5" s="7" t="s">
        <v>48</v>
      </c>
      <c r="AF5" s="7" t="s">
        <v>49</v>
      </c>
      <c r="AG5" s="7" t="s">
        <v>50</v>
      </c>
    </row>
    <row r="6" spans="1:33" x14ac:dyDescent="0.25">
      <c r="A6" s="8" t="s">
        <v>51</v>
      </c>
      <c r="B6" s="9" t="s">
        <v>52</v>
      </c>
      <c r="C6" s="9" t="s">
        <v>53</v>
      </c>
      <c r="D6" s="10">
        <v>46181</v>
      </c>
      <c r="E6" s="11">
        <f>INDEX(Lists!$B$5:$B$13,MATCH(C6,Lists!$A$5:$A$13,0))</f>
        <v>30</v>
      </c>
      <c r="F6" s="12">
        <f t="shared" ref="F6:F33" si="0">D6+E6</f>
        <v>46211</v>
      </c>
      <c r="G6" s="9" t="s">
        <v>54</v>
      </c>
      <c r="H6" s="9" t="s">
        <v>55</v>
      </c>
      <c r="I6" s="9" t="s">
        <v>56</v>
      </c>
      <c r="J6" s="11">
        <f>INDEX(Lists!$E$5:$E$14,MATCH(I6,Lists!$D$5:$D$14,0))</f>
        <v>5200</v>
      </c>
      <c r="K6" s="11" t="str">
        <f>INDEX(Lists!$F$5:$F$14,MATCH(I6,Lists!$D$5:$D$14,0))</f>
        <v>Y</v>
      </c>
      <c r="L6" s="9" t="s">
        <v>57</v>
      </c>
      <c r="M6" s="13">
        <v>14250</v>
      </c>
      <c r="N6" s="9" t="s">
        <v>58</v>
      </c>
      <c r="O6" s="13">
        <v>712.5</v>
      </c>
      <c r="P6" s="14">
        <f>ROUND(M6*INDEX(Lists!$I$5:$I$6,MATCH(N6,Lists!$H$5:$H$6,0)),2)</f>
        <v>712.5</v>
      </c>
      <c r="Q6" s="15">
        <f t="shared" ref="Q6:Q33" si="1">M6+O6</f>
        <v>14962.5</v>
      </c>
      <c r="R6" s="9" t="s">
        <v>59</v>
      </c>
      <c r="S6" s="9" t="s">
        <v>60</v>
      </c>
      <c r="T6" s="9" t="s">
        <v>61</v>
      </c>
      <c r="U6" s="9" t="s">
        <v>62</v>
      </c>
      <c r="V6" s="10"/>
      <c r="W6" s="13">
        <v>0</v>
      </c>
      <c r="X6" s="15">
        <f t="shared" ref="X6:X33" si="2">IF(S6="Rejected",0,Q6-W6)</f>
        <v>14962.5</v>
      </c>
      <c r="Y6" s="8" t="str">
        <f>IF(COUNTIFS($C$6:C6,C6,$B$6:B6,B6)&gt;1,"DUPLICATE","")</f>
        <v/>
      </c>
      <c r="Z6" s="8" t="str">
        <f>IF(AND(Y6="",COUNTIFS($C$6:C6,C6,$Q$6:Q6,Q6,$D$6:D6,"&gt;="&amp;(D6-14),$D$6:D6,"&lt;="&amp;(D6+14))&gt;1),"CHECK","")</f>
        <v/>
      </c>
      <c r="AA6" s="8" t="str">
        <f t="shared" ref="AA6:AA33" si="3">IF(ABS(O6-P6)&gt;0.01,"TAX?","")</f>
        <v/>
      </c>
      <c r="AB6" s="8" t="str">
        <f t="shared" ref="AB6:AB33" si="4">IF(R6&lt;&gt;"Y","NO DOCS","")</f>
        <v/>
      </c>
      <c r="AC6" s="8" t="str">
        <f t="shared" ref="AC6:AC33" si="5">IF(AND(U6="Paid",S6&lt;&gt;"Approved"),"CONTROL","")</f>
        <v/>
      </c>
      <c r="AD6" s="8" t="str">
        <f t="shared" ref="AD6:AD33" si="6">IF(OR(D6&gt;$D$3,F6&lt;D6),"DATE?","")</f>
        <v/>
      </c>
      <c r="AE6" s="16">
        <f t="shared" ref="AE6:AE33" si="7">SUMPRODUCT(--(LEN(Y6:AD6)&gt;0))</f>
        <v>0</v>
      </c>
      <c r="AF6" s="16">
        <f t="shared" ref="AF6:AF33" si="8">IF(AND(X6&gt;0,F6&lt;$D$3),$D$3-F6,0)</f>
        <v>93</v>
      </c>
      <c r="AG6" s="17">
        <f t="shared" ref="AG6:AG33" si="9">IF(AF6&gt;0,AF6+ROW()/10000,"")</f>
        <v>93.000600000000006</v>
      </c>
    </row>
    <row r="7" spans="1:33" x14ac:dyDescent="0.25">
      <c r="A7" s="8" t="s">
        <v>63</v>
      </c>
      <c r="B7" s="9" t="s">
        <v>64</v>
      </c>
      <c r="C7" s="9" t="s">
        <v>65</v>
      </c>
      <c r="D7" s="10">
        <v>46211</v>
      </c>
      <c r="E7" s="11">
        <f>INDEX(Lists!$B$5:$B$13,MATCH(C7,Lists!$A$5:$A$13,0))</f>
        <v>30</v>
      </c>
      <c r="F7" s="12">
        <f t="shared" si="0"/>
        <v>46241</v>
      </c>
      <c r="G7" s="9" t="s">
        <v>66</v>
      </c>
      <c r="H7" s="9" t="s">
        <v>67</v>
      </c>
      <c r="I7" s="9" t="s">
        <v>68</v>
      </c>
      <c r="J7" s="11">
        <f>INDEX(Lists!$E$5:$E$14,MATCH(I7,Lists!$D$5:$D$14,0))</f>
        <v>6100</v>
      </c>
      <c r="K7" s="11" t="str">
        <f>INDEX(Lists!$F$5:$F$14,MATCH(I7,Lists!$D$5:$D$14,0))</f>
        <v>N</v>
      </c>
      <c r="L7" s="9"/>
      <c r="M7" s="13">
        <v>1240</v>
      </c>
      <c r="N7" s="9" t="s">
        <v>58</v>
      </c>
      <c r="O7" s="13">
        <v>62</v>
      </c>
      <c r="P7" s="14">
        <f>ROUND(M7*INDEX(Lists!$I$5:$I$6,MATCH(N7,Lists!$H$5:$H$6,0)),2)</f>
        <v>62</v>
      </c>
      <c r="Q7" s="15">
        <f t="shared" si="1"/>
        <v>1302</v>
      </c>
      <c r="R7" s="9" t="s">
        <v>59</v>
      </c>
      <c r="S7" s="9" t="s">
        <v>69</v>
      </c>
      <c r="T7" s="9" t="s">
        <v>70</v>
      </c>
      <c r="U7" s="9" t="s">
        <v>71</v>
      </c>
      <c r="V7" s="10">
        <v>46240</v>
      </c>
      <c r="W7" s="13">
        <v>1302</v>
      </c>
      <c r="X7" s="15">
        <f t="shared" si="2"/>
        <v>0</v>
      </c>
      <c r="Y7" s="8" t="str">
        <f>IF(COUNTIFS($C$6:C7,C7,$B$6:B7,B7)&gt;1,"DUPLICATE","")</f>
        <v/>
      </c>
      <c r="Z7" s="8" t="str">
        <f>IF(AND(Y7="",COUNTIFS($C$6:C7,C7,$Q$6:Q7,Q7,$D$6:D7,"&gt;="&amp;(D7-14),$D$6:D7,"&lt;="&amp;(D7+14))&gt;1),"CHECK","")</f>
        <v/>
      </c>
      <c r="AA7" s="8" t="str">
        <f t="shared" si="3"/>
        <v/>
      </c>
      <c r="AB7" s="8" t="str">
        <f t="shared" si="4"/>
        <v/>
      </c>
      <c r="AC7" s="8" t="str">
        <f t="shared" si="5"/>
        <v/>
      </c>
      <c r="AD7" s="8" t="str">
        <f t="shared" si="6"/>
        <v/>
      </c>
      <c r="AE7" s="16">
        <f t="shared" si="7"/>
        <v>0</v>
      </c>
      <c r="AF7" s="16">
        <f t="shared" si="8"/>
        <v>0</v>
      </c>
      <c r="AG7" s="17" t="str">
        <f t="shared" si="9"/>
        <v/>
      </c>
    </row>
    <row r="8" spans="1:33" x14ac:dyDescent="0.25">
      <c r="A8" s="8" t="s">
        <v>72</v>
      </c>
      <c r="B8" s="9" t="s">
        <v>73</v>
      </c>
      <c r="C8" s="9" t="s">
        <v>74</v>
      </c>
      <c r="D8" s="10">
        <v>46212</v>
      </c>
      <c r="E8" s="11">
        <f>INDEX(Lists!$B$5:$B$13,MATCH(C8,Lists!$A$5:$A$13,0))</f>
        <v>30</v>
      </c>
      <c r="F8" s="12">
        <f t="shared" si="0"/>
        <v>46242</v>
      </c>
      <c r="G8" s="9" t="s">
        <v>75</v>
      </c>
      <c r="H8" s="9" t="s">
        <v>76</v>
      </c>
      <c r="I8" s="9" t="s">
        <v>77</v>
      </c>
      <c r="J8" s="11">
        <f>INDEX(Lists!$E$5:$E$14,MATCH(I8,Lists!$D$5:$D$14,0))</f>
        <v>6200</v>
      </c>
      <c r="K8" s="11" t="str">
        <f>INDEX(Lists!$F$5:$F$14,MATCH(I8,Lists!$D$5:$D$14,0))</f>
        <v>N</v>
      </c>
      <c r="L8" s="9"/>
      <c r="M8" s="13">
        <v>386.4</v>
      </c>
      <c r="N8" s="9" t="s">
        <v>58</v>
      </c>
      <c r="O8" s="13">
        <v>19.32</v>
      </c>
      <c r="P8" s="14">
        <f>ROUND(M8*INDEX(Lists!$I$5:$I$6,MATCH(N8,Lists!$H$5:$H$6,0)),2)</f>
        <v>19.32</v>
      </c>
      <c r="Q8" s="15">
        <f t="shared" si="1"/>
        <v>405.71999999999997</v>
      </c>
      <c r="R8" s="9" t="s">
        <v>59</v>
      </c>
      <c r="S8" s="9" t="s">
        <v>69</v>
      </c>
      <c r="T8" s="9" t="s">
        <v>70</v>
      </c>
      <c r="U8" s="9" t="s">
        <v>71</v>
      </c>
      <c r="V8" s="10">
        <v>46241</v>
      </c>
      <c r="W8" s="13">
        <v>405.72</v>
      </c>
      <c r="X8" s="15">
        <f t="shared" si="2"/>
        <v>-5.6843418860808015E-14</v>
      </c>
      <c r="Y8" s="8" t="str">
        <f>IF(COUNTIFS($C$6:C8,C8,$B$6:B8,B8)&gt;1,"DUPLICATE","")</f>
        <v/>
      </c>
      <c r="Z8" s="8" t="str">
        <f>IF(AND(Y8="",COUNTIFS($C$6:C8,C8,$Q$6:Q8,Q8,$D$6:D8,"&gt;="&amp;(D8-14),$D$6:D8,"&lt;="&amp;(D8+14))&gt;1),"CHECK","")</f>
        <v/>
      </c>
      <c r="AA8" s="8" t="str">
        <f t="shared" si="3"/>
        <v/>
      </c>
      <c r="AB8" s="8" t="str">
        <f t="shared" si="4"/>
        <v/>
      </c>
      <c r="AC8" s="8" t="str">
        <f t="shared" si="5"/>
        <v/>
      </c>
      <c r="AD8" s="8" t="str">
        <f t="shared" si="6"/>
        <v/>
      </c>
      <c r="AE8" s="16">
        <f t="shared" si="7"/>
        <v>0</v>
      </c>
      <c r="AF8" s="16">
        <f t="shared" si="8"/>
        <v>0</v>
      </c>
      <c r="AG8" s="17" t="str">
        <f t="shared" si="9"/>
        <v/>
      </c>
    </row>
    <row r="9" spans="1:33" x14ac:dyDescent="0.25">
      <c r="A9" s="8" t="s">
        <v>78</v>
      </c>
      <c r="B9" s="9" t="s">
        <v>79</v>
      </c>
      <c r="C9" s="9" t="s">
        <v>80</v>
      </c>
      <c r="D9" s="10">
        <v>46217</v>
      </c>
      <c r="E9" s="11">
        <f>INDEX(Lists!$B$5:$B$13,MATCH(C9,Lists!$A$5:$A$13,0))</f>
        <v>15</v>
      </c>
      <c r="F9" s="12">
        <f t="shared" si="0"/>
        <v>46232</v>
      </c>
      <c r="G9" s="9" t="s">
        <v>81</v>
      </c>
      <c r="H9" s="9" t="s">
        <v>82</v>
      </c>
      <c r="I9" s="9" t="s">
        <v>83</v>
      </c>
      <c r="J9" s="11">
        <f>INDEX(Lists!$E$5:$E$14,MATCH(I9,Lists!$D$5:$D$14,0))</f>
        <v>5400</v>
      </c>
      <c r="K9" s="11" t="str">
        <f>INDEX(Lists!$F$5:$F$14,MATCH(I9,Lists!$D$5:$D$14,0))</f>
        <v>Y</v>
      </c>
      <c r="L9" s="9" t="s">
        <v>84</v>
      </c>
      <c r="M9" s="13">
        <v>3120</v>
      </c>
      <c r="N9" s="9" t="s">
        <v>58</v>
      </c>
      <c r="O9" s="13">
        <v>156</v>
      </c>
      <c r="P9" s="14">
        <f>ROUND(M9*INDEX(Lists!$I$5:$I$6,MATCH(N9,Lists!$H$5:$H$6,0)),2)</f>
        <v>156</v>
      </c>
      <c r="Q9" s="15">
        <f t="shared" si="1"/>
        <v>3276</v>
      </c>
      <c r="R9" s="9" t="s">
        <v>59</v>
      </c>
      <c r="S9" s="9" t="s">
        <v>69</v>
      </c>
      <c r="T9" s="9" t="s">
        <v>85</v>
      </c>
      <c r="U9" s="9" t="s">
        <v>71</v>
      </c>
      <c r="V9" s="10">
        <v>46232</v>
      </c>
      <c r="W9" s="13">
        <v>3276</v>
      </c>
      <c r="X9" s="15">
        <f t="shared" si="2"/>
        <v>0</v>
      </c>
      <c r="Y9" s="8" t="str">
        <f>IF(COUNTIFS($C$6:C9,C9,$B$6:B9,B9)&gt;1,"DUPLICATE","")</f>
        <v/>
      </c>
      <c r="Z9" s="8" t="str">
        <f>IF(AND(Y9="",COUNTIFS($C$6:C9,C9,$Q$6:Q9,Q9,$D$6:D9,"&gt;="&amp;(D9-14),$D$6:D9,"&lt;="&amp;(D9+14))&gt;1),"CHECK","")</f>
        <v/>
      </c>
      <c r="AA9" s="8" t="str">
        <f t="shared" si="3"/>
        <v/>
      </c>
      <c r="AB9" s="8" t="str">
        <f t="shared" si="4"/>
        <v/>
      </c>
      <c r="AC9" s="8" t="str">
        <f t="shared" si="5"/>
        <v/>
      </c>
      <c r="AD9" s="8" t="str">
        <f t="shared" si="6"/>
        <v/>
      </c>
      <c r="AE9" s="16">
        <f t="shared" si="7"/>
        <v>0</v>
      </c>
      <c r="AF9" s="16">
        <f t="shared" si="8"/>
        <v>0</v>
      </c>
      <c r="AG9" s="17" t="str">
        <f t="shared" si="9"/>
        <v/>
      </c>
    </row>
    <row r="10" spans="1:33" x14ac:dyDescent="0.25">
      <c r="A10" s="8" t="s">
        <v>86</v>
      </c>
      <c r="B10" s="9" t="s">
        <v>87</v>
      </c>
      <c r="C10" s="9" t="s">
        <v>88</v>
      </c>
      <c r="D10" s="10">
        <v>46223</v>
      </c>
      <c r="E10" s="11">
        <f>INDEX(Lists!$B$5:$B$13,MATCH(C10,Lists!$A$5:$A$13,0))</f>
        <v>45</v>
      </c>
      <c r="F10" s="12">
        <f t="shared" si="0"/>
        <v>46268</v>
      </c>
      <c r="G10" s="9" t="s">
        <v>89</v>
      </c>
      <c r="H10" s="9" t="s">
        <v>90</v>
      </c>
      <c r="I10" s="9" t="s">
        <v>91</v>
      </c>
      <c r="J10" s="11">
        <f>INDEX(Lists!$E$5:$E$14,MATCH(I10,Lists!$D$5:$D$14,0))</f>
        <v>5300</v>
      </c>
      <c r="K10" s="11" t="str">
        <f>INDEX(Lists!$F$5:$F$14,MATCH(I10,Lists!$D$5:$D$14,0))</f>
        <v>Y</v>
      </c>
      <c r="L10" s="9" t="s">
        <v>92</v>
      </c>
      <c r="M10" s="13">
        <v>8400</v>
      </c>
      <c r="N10" s="9" t="s">
        <v>58</v>
      </c>
      <c r="O10" s="13">
        <v>420</v>
      </c>
      <c r="P10" s="14">
        <f>ROUND(M10*INDEX(Lists!$I$5:$I$6,MATCH(N10,Lists!$H$5:$H$6,0)),2)</f>
        <v>420</v>
      </c>
      <c r="Q10" s="15">
        <f t="shared" si="1"/>
        <v>8820</v>
      </c>
      <c r="R10" s="9" t="s">
        <v>59</v>
      </c>
      <c r="S10" s="9" t="s">
        <v>69</v>
      </c>
      <c r="T10" s="9" t="s">
        <v>61</v>
      </c>
      <c r="U10" s="9" t="s">
        <v>62</v>
      </c>
      <c r="V10" s="10"/>
      <c r="W10" s="13">
        <v>0</v>
      </c>
      <c r="X10" s="15">
        <f t="shared" si="2"/>
        <v>8820</v>
      </c>
      <c r="Y10" s="8" t="str">
        <f>IF(COUNTIFS($C$6:C10,C10,$B$6:B10,B10)&gt;1,"DUPLICATE","")</f>
        <v/>
      </c>
      <c r="Z10" s="8" t="str">
        <f>IF(AND(Y10="",COUNTIFS($C$6:C10,C10,$Q$6:Q10,Q10,$D$6:D10,"&gt;="&amp;(D10-14),$D$6:D10,"&lt;="&amp;(D10+14))&gt;1),"CHECK","")</f>
        <v/>
      </c>
      <c r="AA10" s="8" t="str">
        <f t="shared" si="3"/>
        <v/>
      </c>
      <c r="AB10" s="8" t="str">
        <f t="shared" si="4"/>
        <v/>
      </c>
      <c r="AC10" s="8" t="str">
        <f t="shared" si="5"/>
        <v/>
      </c>
      <c r="AD10" s="8" t="str">
        <f t="shared" si="6"/>
        <v/>
      </c>
      <c r="AE10" s="16">
        <f t="shared" si="7"/>
        <v>0</v>
      </c>
      <c r="AF10" s="16">
        <f t="shared" si="8"/>
        <v>36</v>
      </c>
      <c r="AG10" s="17">
        <f t="shared" si="9"/>
        <v>36.000999999999998</v>
      </c>
    </row>
    <row r="11" spans="1:33" x14ac:dyDescent="0.25">
      <c r="A11" s="8" t="s">
        <v>93</v>
      </c>
      <c r="B11" s="9" t="s">
        <v>94</v>
      </c>
      <c r="C11" s="9" t="s">
        <v>53</v>
      </c>
      <c r="D11" s="10">
        <v>46213</v>
      </c>
      <c r="E11" s="11">
        <f>INDEX(Lists!$B$5:$B$13,MATCH(C11,Lists!$A$5:$A$13,0))</f>
        <v>30</v>
      </c>
      <c r="F11" s="12">
        <f t="shared" si="0"/>
        <v>46243</v>
      </c>
      <c r="G11" s="9" t="s">
        <v>95</v>
      </c>
      <c r="H11" s="9" t="s">
        <v>96</v>
      </c>
      <c r="I11" s="9" t="s">
        <v>56</v>
      </c>
      <c r="J11" s="11">
        <f>INDEX(Lists!$E$5:$E$14,MATCH(I11,Lists!$D$5:$D$14,0))</f>
        <v>5200</v>
      </c>
      <c r="K11" s="11" t="str">
        <f>INDEX(Lists!$F$5:$F$14,MATCH(I11,Lists!$D$5:$D$14,0))</f>
        <v>Y</v>
      </c>
      <c r="L11" s="9" t="s">
        <v>57</v>
      </c>
      <c r="M11" s="13">
        <v>9800</v>
      </c>
      <c r="N11" s="9" t="s">
        <v>58</v>
      </c>
      <c r="O11" s="13">
        <v>490</v>
      </c>
      <c r="P11" s="14">
        <f>ROUND(M11*INDEX(Lists!$I$5:$I$6,MATCH(N11,Lists!$H$5:$H$6,0)),2)</f>
        <v>490</v>
      </c>
      <c r="Q11" s="15">
        <f t="shared" si="1"/>
        <v>10290</v>
      </c>
      <c r="R11" s="9" t="s">
        <v>59</v>
      </c>
      <c r="S11" s="9" t="s">
        <v>60</v>
      </c>
      <c r="T11" s="9" t="s">
        <v>61</v>
      </c>
      <c r="U11" s="9" t="s">
        <v>62</v>
      </c>
      <c r="V11" s="10"/>
      <c r="W11" s="13">
        <v>0</v>
      </c>
      <c r="X11" s="15">
        <f t="shared" si="2"/>
        <v>10290</v>
      </c>
      <c r="Y11" s="8" t="str">
        <f>IF(COUNTIFS($C$6:C11,C11,$B$6:B11,B11)&gt;1,"DUPLICATE","")</f>
        <v/>
      </c>
      <c r="Z11" s="8" t="str">
        <f>IF(AND(Y11="",COUNTIFS($C$6:C11,C11,$Q$6:Q11,Q11,$D$6:D11,"&gt;="&amp;(D11-14),$D$6:D11,"&lt;="&amp;(D11+14))&gt;1),"CHECK","")</f>
        <v/>
      </c>
      <c r="AA11" s="8" t="str">
        <f t="shared" si="3"/>
        <v/>
      </c>
      <c r="AB11" s="8" t="str">
        <f t="shared" si="4"/>
        <v/>
      </c>
      <c r="AC11" s="8" t="str">
        <f t="shared" si="5"/>
        <v/>
      </c>
      <c r="AD11" s="8" t="str">
        <f t="shared" si="6"/>
        <v/>
      </c>
      <c r="AE11" s="16">
        <f t="shared" si="7"/>
        <v>0</v>
      </c>
      <c r="AF11" s="16">
        <f t="shared" si="8"/>
        <v>61</v>
      </c>
      <c r="AG11" s="17">
        <f t="shared" si="9"/>
        <v>61.001100000000001</v>
      </c>
    </row>
    <row r="12" spans="1:33" x14ac:dyDescent="0.25">
      <c r="A12" s="8" t="s">
        <v>97</v>
      </c>
      <c r="B12" s="9" t="s">
        <v>98</v>
      </c>
      <c r="C12" s="9" t="s">
        <v>99</v>
      </c>
      <c r="D12" s="10">
        <v>46225</v>
      </c>
      <c r="E12" s="11">
        <f>INDEX(Lists!$B$5:$B$13,MATCH(C12,Lists!$A$5:$A$13,0))</f>
        <v>15</v>
      </c>
      <c r="F12" s="12">
        <f t="shared" si="0"/>
        <v>46240</v>
      </c>
      <c r="G12" s="9" t="s">
        <v>100</v>
      </c>
      <c r="H12" s="9" t="s">
        <v>101</v>
      </c>
      <c r="I12" s="9" t="s">
        <v>102</v>
      </c>
      <c r="J12" s="11">
        <f>INDEX(Lists!$E$5:$E$14,MATCH(I12,Lists!$D$5:$D$14,0))</f>
        <v>6400</v>
      </c>
      <c r="K12" s="11" t="str">
        <f>INDEX(Lists!$F$5:$F$14,MATCH(I12,Lists!$D$5:$D$14,0))</f>
        <v>N</v>
      </c>
      <c r="L12" s="9" t="s">
        <v>84</v>
      </c>
      <c r="M12" s="13">
        <v>642.5</v>
      </c>
      <c r="N12" s="9" t="s">
        <v>58</v>
      </c>
      <c r="O12" s="13">
        <v>32.130000000000003</v>
      </c>
      <c r="P12" s="14">
        <f>ROUND(M12*INDEX(Lists!$I$5:$I$6,MATCH(N12,Lists!$H$5:$H$6,0)),2)</f>
        <v>32.130000000000003</v>
      </c>
      <c r="Q12" s="15">
        <f t="shared" si="1"/>
        <v>674.63</v>
      </c>
      <c r="R12" s="9" t="s">
        <v>59</v>
      </c>
      <c r="S12" s="9" t="s">
        <v>69</v>
      </c>
      <c r="T12" s="9" t="s">
        <v>85</v>
      </c>
      <c r="U12" s="9" t="s">
        <v>71</v>
      </c>
      <c r="V12" s="10">
        <v>46239</v>
      </c>
      <c r="W12" s="13">
        <v>674.63</v>
      </c>
      <c r="X12" s="15">
        <f t="shared" si="2"/>
        <v>0</v>
      </c>
      <c r="Y12" s="8" t="str">
        <f>IF(COUNTIFS($C$6:C12,C12,$B$6:B12,B12)&gt;1,"DUPLICATE","")</f>
        <v/>
      </c>
      <c r="Z12" s="8" t="str">
        <f>IF(AND(Y12="",COUNTIFS($C$6:C12,C12,$Q$6:Q12,Q12,$D$6:D12,"&gt;="&amp;(D12-14),$D$6:D12,"&lt;="&amp;(D12+14))&gt;1),"CHECK","")</f>
        <v/>
      </c>
      <c r="AA12" s="8" t="str">
        <f t="shared" si="3"/>
        <v/>
      </c>
      <c r="AB12" s="8" t="str">
        <f t="shared" si="4"/>
        <v/>
      </c>
      <c r="AC12" s="8" t="str">
        <f t="shared" si="5"/>
        <v/>
      </c>
      <c r="AD12" s="8" t="str">
        <f t="shared" si="6"/>
        <v/>
      </c>
      <c r="AE12" s="16">
        <f t="shared" si="7"/>
        <v>0</v>
      </c>
      <c r="AF12" s="16">
        <f t="shared" si="8"/>
        <v>0</v>
      </c>
      <c r="AG12" s="17" t="str">
        <f t="shared" si="9"/>
        <v/>
      </c>
    </row>
    <row r="13" spans="1:33" x14ac:dyDescent="0.25">
      <c r="A13" s="8" t="s">
        <v>103</v>
      </c>
      <c r="B13" s="9" t="s">
        <v>104</v>
      </c>
      <c r="C13" s="9" t="s">
        <v>65</v>
      </c>
      <c r="D13" s="10">
        <v>46227</v>
      </c>
      <c r="E13" s="11">
        <f>INDEX(Lists!$B$5:$B$13,MATCH(C13,Lists!$A$5:$A$13,0))</f>
        <v>30</v>
      </c>
      <c r="F13" s="12">
        <f t="shared" si="0"/>
        <v>46257</v>
      </c>
      <c r="G13" s="9" t="s">
        <v>105</v>
      </c>
      <c r="H13" s="9" t="s">
        <v>106</v>
      </c>
      <c r="I13" s="9" t="s">
        <v>68</v>
      </c>
      <c r="J13" s="11">
        <f>INDEX(Lists!$E$5:$E$14,MATCH(I13,Lists!$D$5:$D$14,0))</f>
        <v>6100</v>
      </c>
      <c r="K13" s="11" t="str">
        <f>INDEX(Lists!$F$5:$F$14,MATCH(I13,Lists!$D$5:$D$14,0))</f>
        <v>N</v>
      </c>
      <c r="L13" s="9"/>
      <c r="M13" s="13">
        <v>2175</v>
      </c>
      <c r="N13" s="9" t="s">
        <v>58</v>
      </c>
      <c r="O13" s="13">
        <v>108.75</v>
      </c>
      <c r="P13" s="14">
        <f>ROUND(M13*INDEX(Lists!$I$5:$I$6,MATCH(N13,Lists!$H$5:$H$6,0)),2)</f>
        <v>108.75</v>
      </c>
      <c r="Q13" s="15">
        <f t="shared" si="1"/>
        <v>2283.75</v>
      </c>
      <c r="R13" s="9" t="s">
        <v>59</v>
      </c>
      <c r="S13" s="9" t="s">
        <v>69</v>
      </c>
      <c r="T13" s="9" t="s">
        <v>70</v>
      </c>
      <c r="U13" s="9" t="s">
        <v>71</v>
      </c>
      <c r="V13" s="10">
        <v>46255</v>
      </c>
      <c r="W13" s="13">
        <v>2283.75</v>
      </c>
      <c r="X13" s="15">
        <f t="shared" si="2"/>
        <v>0</v>
      </c>
      <c r="Y13" s="8" t="str">
        <f>IF(COUNTIFS($C$6:C13,C13,$B$6:B13,B13)&gt;1,"DUPLICATE","")</f>
        <v/>
      </c>
      <c r="Z13" s="8" t="str">
        <f>IF(AND(Y13="",COUNTIFS($C$6:C13,C13,$Q$6:Q13,Q13,$D$6:D13,"&gt;="&amp;(D13-14),$D$6:D13,"&lt;="&amp;(D13+14))&gt;1),"CHECK","")</f>
        <v/>
      </c>
      <c r="AA13" s="8" t="str">
        <f t="shared" si="3"/>
        <v/>
      </c>
      <c r="AB13" s="8" t="str">
        <f t="shared" si="4"/>
        <v/>
      </c>
      <c r="AC13" s="8" t="str">
        <f t="shared" si="5"/>
        <v/>
      </c>
      <c r="AD13" s="8" t="str">
        <f t="shared" si="6"/>
        <v/>
      </c>
      <c r="AE13" s="16">
        <f t="shared" si="7"/>
        <v>0</v>
      </c>
      <c r="AF13" s="16">
        <f t="shared" si="8"/>
        <v>0</v>
      </c>
      <c r="AG13" s="17" t="str">
        <f t="shared" si="9"/>
        <v/>
      </c>
    </row>
    <row r="14" spans="1:33" x14ac:dyDescent="0.25">
      <c r="A14" s="8" t="s">
        <v>107</v>
      </c>
      <c r="B14" s="9" t="s">
        <v>108</v>
      </c>
      <c r="C14" s="9" t="s">
        <v>109</v>
      </c>
      <c r="D14" s="10">
        <v>46231</v>
      </c>
      <c r="E14" s="11">
        <f>INDEX(Lists!$B$5:$B$13,MATCH(C14,Lists!$A$5:$A$13,0))</f>
        <v>30</v>
      </c>
      <c r="F14" s="12">
        <f t="shared" si="0"/>
        <v>46261</v>
      </c>
      <c r="G14" s="9" t="s">
        <v>110</v>
      </c>
      <c r="H14" s="9" t="s">
        <v>111</v>
      </c>
      <c r="I14" s="9" t="s">
        <v>112</v>
      </c>
      <c r="J14" s="11">
        <f>INDEX(Lists!$E$5:$E$14,MATCH(I14,Lists!$D$5:$D$14,0))</f>
        <v>6500</v>
      </c>
      <c r="K14" s="11" t="str">
        <f>INDEX(Lists!$F$5:$F$14,MATCH(I14,Lists!$D$5:$D$14,0))</f>
        <v>N</v>
      </c>
      <c r="L14" s="9"/>
      <c r="M14" s="13">
        <v>1795</v>
      </c>
      <c r="N14" s="9" t="s">
        <v>58</v>
      </c>
      <c r="O14" s="13">
        <v>89.75</v>
      </c>
      <c r="P14" s="14">
        <f>ROUND(M14*INDEX(Lists!$I$5:$I$6,MATCH(N14,Lists!$H$5:$H$6,0)),2)</f>
        <v>89.75</v>
      </c>
      <c r="Q14" s="15">
        <f t="shared" si="1"/>
        <v>1884.75</v>
      </c>
      <c r="R14" s="9" t="s">
        <v>59</v>
      </c>
      <c r="S14" s="9" t="s">
        <v>69</v>
      </c>
      <c r="T14" s="9" t="s">
        <v>70</v>
      </c>
      <c r="U14" s="9" t="s">
        <v>71</v>
      </c>
      <c r="V14" s="10">
        <v>46259</v>
      </c>
      <c r="W14" s="13">
        <v>1884.75</v>
      </c>
      <c r="X14" s="15">
        <f t="shared" si="2"/>
        <v>0</v>
      </c>
      <c r="Y14" s="8" t="str">
        <f>IF(COUNTIFS($C$6:C14,C14,$B$6:B14,B14)&gt;1,"DUPLICATE","")</f>
        <v/>
      </c>
      <c r="Z14" s="8" t="str">
        <f>IF(AND(Y14="",COUNTIFS($C$6:C14,C14,$Q$6:Q14,Q14,$D$6:D14,"&gt;="&amp;(D14-14),$D$6:D14,"&lt;="&amp;(D14+14))&gt;1),"CHECK","")</f>
        <v/>
      </c>
      <c r="AA14" s="8" t="str">
        <f t="shared" si="3"/>
        <v/>
      </c>
      <c r="AB14" s="8" t="str">
        <f t="shared" si="4"/>
        <v/>
      </c>
      <c r="AC14" s="8" t="str">
        <f t="shared" si="5"/>
        <v/>
      </c>
      <c r="AD14" s="8" t="str">
        <f t="shared" si="6"/>
        <v/>
      </c>
      <c r="AE14" s="16">
        <f t="shared" si="7"/>
        <v>0</v>
      </c>
      <c r="AF14" s="16">
        <f t="shared" si="8"/>
        <v>0</v>
      </c>
      <c r="AG14" s="17" t="str">
        <f t="shared" si="9"/>
        <v/>
      </c>
    </row>
    <row r="15" spans="1:33" x14ac:dyDescent="0.25">
      <c r="A15" s="8" t="s">
        <v>113</v>
      </c>
      <c r="B15" s="9" t="s">
        <v>98</v>
      </c>
      <c r="C15" s="9" t="s">
        <v>99</v>
      </c>
      <c r="D15" s="10">
        <v>46232</v>
      </c>
      <c r="E15" s="11">
        <f>INDEX(Lists!$B$5:$B$13,MATCH(C15,Lists!$A$5:$A$13,0))</f>
        <v>15</v>
      </c>
      <c r="F15" s="12">
        <f t="shared" si="0"/>
        <v>46247</v>
      </c>
      <c r="G15" s="9" t="s">
        <v>100</v>
      </c>
      <c r="H15" s="9" t="s">
        <v>101</v>
      </c>
      <c r="I15" s="9" t="s">
        <v>102</v>
      </c>
      <c r="J15" s="11">
        <f>INDEX(Lists!$E$5:$E$14,MATCH(I15,Lists!$D$5:$D$14,0))</f>
        <v>6400</v>
      </c>
      <c r="K15" s="11" t="str">
        <f>INDEX(Lists!$F$5:$F$14,MATCH(I15,Lists!$D$5:$D$14,0))</f>
        <v>N</v>
      </c>
      <c r="L15" s="9" t="s">
        <v>84</v>
      </c>
      <c r="M15" s="13">
        <v>642.5</v>
      </c>
      <c r="N15" s="9" t="s">
        <v>58</v>
      </c>
      <c r="O15" s="13">
        <v>32.130000000000003</v>
      </c>
      <c r="P15" s="14">
        <f>ROUND(M15*INDEX(Lists!$I$5:$I$6,MATCH(N15,Lists!$H$5:$H$6,0)),2)</f>
        <v>32.130000000000003</v>
      </c>
      <c r="Q15" s="15">
        <f t="shared" si="1"/>
        <v>674.63</v>
      </c>
      <c r="R15" s="9" t="s">
        <v>59</v>
      </c>
      <c r="S15" s="9" t="s">
        <v>114</v>
      </c>
      <c r="T15" s="9" t="s">
        <v>85</v>
      </c>
      <c r="U15" s="9" t="s">
        <v>62</v>
      </c>
      <c r="V15" s="10"/>
      <c r="W15" s="13">
        <v>0</v>
      </c>
      <c r="X15" s="15">
        <f t="shared" si="2"/>
        <v>674.63</v>
      </c>
      <c r="Y15" s="8" t="str">
        <f>IF(COUNTIFS($C$6:C15,C15,$B$6:B15,B15)&gt;1,"DUPLICATE","")</f>
        <v>DUPLICATE</v>
      </c>
      <c r="Z15" s="8" t="str">
        <f>IF(AND(Y15="",COUNTIFS($C$6:C15,C15,$Q$6:Q15,Q15,$D$6:D15,"&gt;="&amp;(D15-14),$D$6:D15,"&lt;="&amp;(D15+14))&gt;1),"CHECK","")</f>
        <v/>
      </c>
      <c r="AA15" s="8" t="str">
        <f t="shared" si="3"/>
        <v/>
      </c>
      <c r="AB15" s="8" t="str">
        <f t="shared" si="4"/>
        <v/>
      </c>
      <c r="AC15" s="8" t="str">
        <f t="shared" si="5"/>
        <v/>
      </c>
      <c r="AD15" s="8" t="str">
        <f t="shared" si="6"/>
        <v/>
      </c>
      <c r="AE15" s="16">
        <f t="shared" si="7"/>
        <v>1</v>
      </c>
      <c r="AF15" s="16">
        <f t="shared" si="8"/>
        <v>57</v>
      </c>
      <c r="AG15" s="17">
        <f t="shared" si="9"/>
        <v>57.0015</v>
      </c>
    </row>
    <row r="16" spans="1:33" x14ac:dyDescent="0.25">
      <c r="A16" s="8" t="s">
        <v>115</v>
      </c>
      <c r="B16" s="9" t="s">
        <v>116</v>
      </c>
      <c r="C16" s="9" t="s">
        <v>53</v>
      </c>
      <c r="D16" s="10">
        <v>46231</v>
      </c>
      <c r="E16" s="11">
        <f>INDEX(Lists!$B$5:$B$13,MATCH(C16,Lists!$A$5:$A$13,0))</f>
        <v>30</v>
      </c>
      <c r="F16" s="12">
        <f t="shared" si="0"/>
        <v>46261</v>
      </c>
      <c r="G16" s="9" t="s">
        <v>117</v>
      </c>
      <c r="H16" s="9" t="s">
        <v>118</v>
      </c>
      <c r="I16" s="9" t="s">
        <v>119</v>
      </c>
      <c r="J16" s="11">
        <f>INDEX(Lists!$E$5:$E$14,MATCH(I16,Lists!$D$5:$D$14,0))</f>
        <v>5100</v>
      </c>
      <c r="K16" s="11" t="str">
        <f>INDEX(Lists!$F$5:$F$14,MATCH(I16,Lists!$D$5:$D$14,0))</f>
        <v>Y</v>
      </c>
      <c r="L16" s="9" t="s">
        <v>92</v>
      </c>
      <c r="M16" s="13">
        <v>11300</v>
      </c>
      <c r="N16" s="9" t="s">
        <v>58</v>
      </c>
      <c r="O16" s="13">
        <v>565</v>
      </c>
      <c r="P16" s="14">
        <f>ROUND(M16*INDEX(Lists!$I$5:$I$6,MATCH(N16,Lists!$H$5:$H$6,0)),2)</f>
        <v>565</v>
      </c>
      <c r="Q16" s="15">
        <f t="shared" si="1"/>
        <v>11865</v>
      </c>
      <c r="R16" s="9" t="s">
        <v>120</v>
      </c>
      <c r="S16" s="9" t="s">
        <v>69</v>
      </c>
      <c r="T16" s="9" t="s">
        <v>61</v>
      </c>
      <c r="U16" s="9" t="s">
        <v>62</v>
      </c>
      <c r="V16" s="10"/>
      <c r="W16" s="13">
        <v>0</v>
      </c>
      <c r="X16" s="15">
        <f t="shared" si="2"/>
        <v>11865</v>
      </c>
      <c r="Y16" s="8" t="str">
        <f>IF(COUNTIFS($C$6:C16,C16,$B$6:B16,B16)&gt;1,"DUPLICATE","")</f>
        <v/>
      </c>
      <c r="Z16" s="8" t="str">
        <f>IF(AND(Y16="",COUNTIFS($C$6:C16,C16,$Q$6:Q16,Q16,$D$6:D16,"&gt;="&amp;(D16-14),$D$6:D16,"&lt;="&amp;(D16+14))&gt;1),"CHECK","")</f>
        <v/>
      </c>
      <c r="AA16" s="8" t="str">
        <f t="shared" si="3"/>
        <v/>
      </c>
      <c r="AB16" s="8" t="str">
        <f t="shared" si="4"/>
        <v>NO DOCS</v>
      </c>
      <c r="AC16" s="8" t="str">
        <f t="shared" si="5"/>
        <v/>
      </c>
      <c r="AD16" s="8" t="str">
        <f t="shared" si="6"/>
        <v/>
      </c>
      <c r="AE16" s="16">
        <f t="shared" si="7"/>
        <v>1</v>
      </c>
      <c r="AF16" s="16">
        <f t="shared" si="8"/>
        <v>43</v>
      </c>
      <c r="AG16" s="17">
        <f t="shared" si="9"/>
        <v>43.001600000000003</v>
      </c>
    </row>
    <row r="17" spans="1:33" x14ac:dyDescent="0.25">
      <c r="A17" s="8" t="s">
        <v>121</v>
      </c>
      <c r="B17" s="9" t="s">
        <v>122</v>
      </c>
      <c r="C17" s="9" t="s">
        <v>109</v>
      </c>
      <c r="D17" s="10">
        <v>46239</v>
      </c>
      <c r="E17" s="11">
        <f>INDEX(Lists!$B$5:$B$13,MATCH(C17,Lists!$A$5:$A$13,0))</f>
        <v>30</v>
      </c>
      <c r="F17" s="12">
        <f t="shared" si="0"/>
        <v>46269</v>
      </c>
      <c r="G17" s="9" t="s">
        <v>123</v>
      </c>
      <c r="H17" s="9" t="s">
        <v>124</v>
      </c>
      <c r="I17" s="9" t="s">
        <v>112</v>
      </c>
      <c r="J17" s="11">
        <f>INDEX(Lists!$E$5:$E$14,MATCH(I17,Lists!$D$5:$D$14,0))</f>
        <v>6500</v>
      </c>
      <c r="K17" s="11" t="str">
        <f>INDEX(Lists!$F$5:$F$14,MATCH(I17,Lists!$D$5:$D$14,0))</f>
        <v>N</v>
      </c>
      <c r="L17" s="9"/>
      <c r="M17" s="13">
        <v>1850</v>
      </c>
      <c r="N17" s="9" t="s">
        <v>58</v>
      </c>
      <c r="O17" s="13">
        <v>92.5</v>
      </c>
      <c r="P17" s="14">
        <f>ROUND(M17*INDEX(Lists!$I$5:$I$6,MATCH(N17,Lists!$H$5:$H$6,0)),2)</f>
        <v>92.5</v>
      </c>
      <c r="Q17" s="15">
        <f t="shared" si="1"/>
        <v>1942.5</v>
      </c>
      <c r="R17" s="9" t="s">
        <v>59</v>
      </c>
      <c r="S17" s="9" t="s">
        <v>114</v>
      </c>
      <c r="T17" s="9" t="s">
        <v>70</v>
      </c>
      <c r="U17" s="9" t="s">
        <v>62</v>
      </c>
      <c r="V17" s="10"/>
      <c r="W17" s="13">
        <v>0</v>
      </c>
      <c r="X17" s="15">
        <f t="shared" si="2"/>
        <v>1942.5</v>
      </c>
      <c r="Y17" s="8" t="str">
        <f>IF(COUNTIFS($C$6:C17,C17,$B$6:B17,B17)&gt;1,"DUPLICATE","")</f>
        <v/>
      </c>
      <c r="Z17" s="8" t="str">
        <f>IF(AND(Y17="",COUNTIFS($C$6:C17,C17,$Q$6:Q17,Q17,$D$6:D17,"&gt;="&amp;(D17-14),$D$6:D17,"&lt;="&amp;(D17+14))&gt;1),"CHECK","")</f>
        <v/>
      </c>
      <c r="AA17" s="8" t="str">
        <f t="shared" si="3"/>
        <v/>
      </c>
      <c r="AB17" s="8" t="str">
        <f t="shared" si="4"/>
        <v/>
      </c>
      <c r="AC17" s="8" t="str">
        <f t="shared" si="5"/>
        <v/>
      </c>
      <c r="AD17" s="8" t="str">
        <f t="shared" si="6"/>
        <v/>
      </c>
      <c r="AE17" s="16">
        <f t="shared" si="7"/>
        <v>0</v>
      </c>
      <c r="AF17" s="16">
        <f t="shared" si="8"/>
        <v>35</v>
      </c>
      <c r="AG17" s="17">
        <f t="shared" si="9"/>
        <v>35.0017</v>
      </c>
    </row>
    <row r="18" spans="1:33" x14ac:dyDescent="0.25">
      <c r="A18" s="8" t="s">
        <v>125</v>
      </c>
      <c r="B18" s="9" t="s">
        <v>126</v>
      </c>
      <c r="C18" s="9" t="s">
        <v>127</v>
      </c>
      <c r="D18" s="10">
        <v>46240</v>
      </c>
      <c r="E18" s="11">
        <f>INDEX(Lists!$B$5:$B$13,MATCH(C18,Lists!$A$5:$A$13,0))</f>
        <v>30</v>
      </c>
      <c r="F18" s="12">
        <f t="shared" si="0"/>
        <v>46270</v>
      </c>
      <c r="G18" s="9" t="s">
        <v>128</v>
      </c>
      <c r="H18" s="9" t="s">
        <v>129</v>
      </c>
      <c r="I18" s="9" t="s">
        <v>130</v>
      </c>
      <c r="J18" s="11">
        <f>INDEX(Lists!$E$5:$E$14,MATCH(I18,Lists!$D$5:$D$14,0))</f>
        <v>6300</v>
      </c>
      <c r="K18" s="11" t="str">
        <f>INDEX(Lists!$F$5:$F$14,MATCH(I18,Lists!$D$5:$D$14,0))</f>
        <v>N</v>
      </c>
      <c r="L18" s="9"/>
      <c r="M18" s="13">
        <v>2400</v>
      </c>
      <c r="N18" s="9" t="s">
        <v>58</v>
      </c>
      <c r="O18" s="13">
        <v>120</v>
      </c>
      <c r="P18" s="14">
        <f>ROUND(M18*INDEX(Lists!$I$5:$I$6,MATCH(N18,Lists!$H$5:$H$6,0)),2)</f>
        <v>120</v>
      </c>
      <c r="Q18" s="15">
        <f t="shared" si="1"/>
        <v>2520</v>
      </c>
      <c r="R18" s="9" t="s">
        <v>59</v>
      </c>
      <c r="S18" s="9" t="s">
        <v>131</v>
      </c>
      <c r="T18" s="9" t="s">
        <v>85</v>
      </c>
      <c r="U18" s="9" t="s">
        <v>62</v>
      </c>
      <c r="V18" s="10"/>
      <c r="W18" s="13">
        <v>0</v>
      </c>
      <c r="X18" s="15">
        <f t="shared" si="2"/>
        <v>0</v>
      </c>
      <c r="Y18" s="8" t="str">
        <f>IF(COUNTIFS($C$6:C18,C18,$B$6:B18,B18)&gt;1,"DUPLICATE","")</f>
        <v/>
      </c>
      <c r="Z18" s="8" t="str">
        <f>IF(AND(Y18="",COUNTIFS($C$6:C18,C18,$Q$6:Q18,Q18,$D$6:D18,"&gt;="&amp;(D18-14),$D$6:D18,"&lt;="&amp;(D18+14))&gt;1),"CHECK","")</f>
        <v/>
      </c>
      <c r="AA18" s="8" t="str">
        <f t="shared" si="3"/>
        <v/>
      </c>
      <c r="AB18" s="8" t="str">
        <f t="shared" si="4"/>
        <v/>
      </c>
      <c r="AC18" s="8" t="str">
        <f t="shared" si="5"/>
        <v/>
      </c>
      <c r="AD18" s="8" t="str">
        <f t="shared" si="6"/>
        <v/>
      </c>
      <c r="AE18" s="16">
        <f t="shared" si="7"/>
        <v>0</v>
      </c>
      <c r="AF18" s="16">
        <f t="shared" si="8"/>
        <v>0</v>
      </c>
      <c r="AG18" s="17" t="str">
        <f t="shared" si="9"/>
        <v/>
      </c>
    </row>
    <row r="19" spans="1:33" x14ac:dyDescent="0.25">
      <c r="A19" s="8" t="s">
        <v>132</v>
      </c>
      <c r="B19" s="9" t="s">
        <v>133</v>
      </c>
      <c r="C19" s="9" t="s">
        <v>65</v>
      </c>
      <c r="D19" s="10">
        <v>46248</v>
      </c>
      <c r="E19" s="11">
        <f>INDEX(Lists!$B$5:$B$13,MATCH(C19,Lists!$A$5:$A$13,0))</f>
        <v>30</v>
      </c>
      <c r="F19" s="12">
        <f t="shared" si="0"/>
        <v>46278</v>
      </c>
      <c r="G19" s="9" t="s">
        <v>134</v>
      </c>
      <c r="H19" s="9" t="s">
        <v>135</v>
      </c>
      <c r="I19" s="9" t="s">
        <v>119</v>
      </c>
      <c r="J19" s="11">
        <f>INDEX(Lists!$E$5:$E$14,MATCH(I19,Lists!$D$5:$D$14,0))</f>
        <v>5100</v>
      </c>
      <c r="K19" s="11" t="str">
        <f>INDEX(Lists!$F$5:$F$14,MATCH(I19,Lists!$D$5:$D$14,0))</f>
        <v>Y</v>
      </c>
      <c r="L19" s="9" t="s">
        <v>136</v>
      </c>
      <c r="M19" s="13">
        <v>4620</v>
      </c>
      <c r="N19" s="9" t="s">
        <v>58</v>
      </c>
      <c r="O19" s="13">
        <v>231</v>
      </c>
      <c r="P19" s="14">
        <f>ROUND(M19*INDEX(Lists!$I$5:$I$6,MATCH(N19,Lists!$H$5:$H$6,0)),2)</f>
        <v>231</v>
      </c>
      <c r="Q19" s="15">
        <f t="shared" si="1"/>
        <v>4851</v>
      </c>
      <c r="R19" s="9" t="s">
        <v>59</v>
      </c>
      <c r="S19" s="9" t="s">
        <v>69</v>
      </c>
      <c r="T19" s="9" t="s">
        <v>70</v>
      </c>
      <c r="U19" s="9" t="s">
        <v>62</v>
      </c>
      <c r="V19" s="10"/>
      <c r="W19" s="13">
        <v>0</v>
      </c>
      <c r="X19" s="15">
        <f t="shared" si="2"/>
        <v>4851</v>
      </c>
      <c r="Y19" s="8" t="str">
        <f>IF(COUNTIFS($C$6:C19,C19,$B$6:B19,B19)&gt;1,"DUPLICATE","")</f>
        <v/>
      </c>
      <c r="Z19" s="8" t="str">
        <f>IF(AND(Y19="",COUNTIFS($C$6:C19,C19,$Q$6:Q19,Q19,$D$6:D19,"&gt;="&amp;(D19-14),$D$6:D19,"&lt;="&amp;(D19+14))&gt;1),"CHECK","")</f>
        <v/>
      </c>
      <c r="AA19" s="8" t="str">
        <f t="shared" si="3"/>
        <v/>
      </c>
      <c r="AB19" s="8" t="str">
        <f t="shared" si="4"/>
        <v/>
      </c>
      <c r="AC19" s="8" t="str">
        <f t="shared" si="5"/>
        <v/>
      </c>
      <c r="AD19" s="8" t="str">
        <f t="shared" si="6"/>
        <v/>
      </c>
      <c r="AE19" s="16">
        <f t="shared" si="7"/>
        <v>0</v>
      </c>
      <c r="AF19" s="16">
        <f t="shared" si="8"/>
        <v>26</v>
      </c>
      <c r="AG19" s="17">
        <f t="shared" si="9"/>
        <v>26.001899999999999</v>
      </c>
    </row>
    <row r="20" spans="1:33" x14ac:dyDescent="0.25">
      <c r="A20" s="8" t="s">
        <v>137</v>
      </c>
      <c r="B20" s="9" t="s">
        <v>138</v>
      </c>
      <c r="C20" s="9" t="s">
        <v>88</v>
      </c>
      <c r="D20" s="10">
        <v>46246</v>
      </c>
      <c r="E20" s="11">
        <f>INDEX(Lists!$B$5:$B$13,MATCH(C20,Lists!$A$5:$A$13,0))</f>
        <v>45</v>
      </c>
      <c r="F20" s="12">
        <f t="shared" si="0"/>
        <v>46291</v>
      </c>
      <c r="G20" s="9" t="s">
        <v>139</v>
      </c>
      <c r="H20" s="9" t="s">
        <v>140</v>
      </c>
      <c r="I20" s="9" t="s">
        <v>91</v>
      </c>
      <c r="J20" s="11">
        <f>INDEX(Lists!$E$5:$E$14,MATCH(I20,Lists!$D$5:$D$14,0))</f>
        <v>5300</v>
      </c>
      <c r="K20" s="11" t="str">
        <f>INDEX(Lists!$F$5:$F$14,MATCH(I20,Lists!$D$5:$D$14,0))</f>
        <v>Y</v>
      </c>
      <c r="L20" s="9" t="s">
        <v>136</v>
      </c>
      <c r="M20" s="13">
        <v>2000</v>
      </c>
      <c r="N20" s="9" t="s">
        <v>58</v>
      </c>
      <c r="O20" s="13">
        <v>120</v>
      </c>
      <c r="P20" s="14">
        <f>ROUND(M20*INDEX(Lists!$I$5:$I$6,MATCH(N20,Lists!$H$5:$H$6,0)),2)</f>
        <v>100</v>
      </c>
      <c r="Q20" s="15">
        <f t="shared" si="1"/>
        <v>2120</v>
      </c>
      <c r="R20" s="9" t="s">
        <v>59</v>
      </c>
      <c r="S20" s="9" t="s">
        <v>69</v>
      </c>
      <c r="T20" s="9" t="s">
        <v>61</v>
      </c>
      <c r="U20" s="9" t="s">
        <v>71</v>
      </c>
      <c r="V20" s="10">
        <v>46290</v>
      </c>
      <c r="W20" s="13">
        <v>2120</v>
      </c>
      <c r="X20" s="15">
        <f t="shared" si="2"/>
        <v>0</v>
      </c>
      <c r="Y20" s="8" t="str">
        <f>IF(COUNTIFS($C$6:C20,C20,$B$6:B20,B20)&gt;1,"DUPLICATE","")</f>
        <v/>
      </c>
      <c r="Z20" s="8" t="str">
        <f>IF(AND(Y20="",COUNTIFS($C$6:C20,C20,$Q$6:Q20,Q20,$D$6:D20,"&gt;="&amp;(D20-14),$D$6:D20,"&lt;="&amp;(D20+14))&gt;1),"CHECK","")</f>
        <v/>
      </c>
      <c r="AA20" s="8" t="str">
        <f t="shared" si="3"/>
        <v>TAX?</v>
      </c>
      <c r="AB20" s="8" t="str">
        <f t="shared" si="4"/>
        <v/>
      </c>
      <c r="AC20" s="8" t="str">
        <f t="shared" si="5"/>
        <v/>
      </c>
      <c r="AD20" s="8" t="str">
        <f t="shared" si="6"/>
        <v/>
      </c>
      <c r="AE20" s="16">
        <f t="shared" si="7"/>
        <v>1</v>
      </c>
      <c r="AF20" s="16">
        <f t="shared" si="8"/>
        <v>0</v>
      </c>
      <c r="AG20" s="17" t="str">
        <f t="shared" si="9"/>
        <v/>
      </c>
    </row>
    <row r="21" spans="1:33" x14ac:dyDescent="0.25">
      <c r="A21" s="8" t="s">
        <v>141</v>
      </c>
      <c r="B21" s="9" t="s">
        <v>142</v>
      </c>
      <c r="C21" s="9" t="s">
        <v>80</v>
      </c>
      <c r="D21" s="10">
        <v>46252</v>
      </c>
      <c r="E21" s="11">
        <f>INDEX(Lists!$B$5:$B$13,MATCH(C21,Lists!$A$5:$A$13,0))</f>
        <v>15</v>
      </c>
      <c r="F21" s="12">
        <f t="shared" si="0"/>
        <v>46267</v>
      </c>
      <c r="G21" s="9" t="s">
        <v>143</v>
      </c>
      <c r="H21" s="9" t="s">
        <v>144</v>
      </c>
      <c r="I21" s="9" t="s">
        <v>83</v>
      </c>
      <c r="J21" s="11">
        <f>INDEX(Lists!$E$5:$E$14,MATCH(I21,Lists!$D$5:$D$14,0))</f>
        <v>5400</v>
      </c>
      <c r="K21" s="11" t="str">
        <f>INDEX(Lists!$F$5:$F$14,MATCH(I21,Lists!$D$5:$D$14,0))</f>
        <v>Y</v>
      </c>
      <c r="L21" s="9" t="s">
        <v>57</v>
      </c>
      <c r="M21" s="13">
        <v>2860</v>
      </c>
      <c r="N21" s="9" t="s">
        <v>58</v>
      </c>
      <c r="O21" s="13">
        <v>143</v>
      </c>
      <c r="P21" s="14">
        <f>ROUND(M21*INDEX(Lists!$I$5:$I$6,MATCH(N21,Lists!$H$5:$H$6,0)),2)</f>
        <v>143</v>
      </c>
      <c r="Q21" s="15">
        <f t="shared" si="1"/>
        <v>3003</v>
      </c>
      <c r="R21" s="9" t="s">
        <v>59</v>
      </c>
      <c r="S21" s="9" t="s">
        <v>114</v>
      </c>
      <c r="T21" s="9" t="s">
        <v>85</v>
      </c>
      <c r="U21" s="9" t="s">
        <v>71</v>
      </c>
      <c r="V21" s="10">
        <v>46267</v>
      </c>
      <c r="W21" s="13">
        <v>3003</v>
      </c>
      <c r="X21" s="15">
        <f t="shared" si="2"/>
        <v>0</v>
      </c>
      <c r="Y21" s="8" t="str">
        <f>IF(COUNTIFS($C$6:C21,C21,$B$6:B21,B21)&gt;1,"DUPLICATE","")</f>
        <v/>
      </c>
      <c r="Z21" s="8" t="str">
        <f>IF(AND(Y21="",COUNTIFS($C$6:C21,C21,$Q$6:Q21,Q21,$D$6:D21,"&gt;="&amp;(D21-14),$D$6:D21,"&lt;="&amp;(D21+14))&gt;1),"CHECK","")</f>
        <v/>
      </c>
      <c r="AA21" s="8" t="str">
        <f t="shared" si="3"/>
        <v/>
      </c>
      <c r="AB21" s="8" t="str">
        <f t="shared" si="4"/>
        <v/>
      </c>
      <c r="AC21" s="8" t="str">
        <f t="shared" si="5"/>
        <v>CONTROL</v>
      </c>
      <c r="AD21" s="8" t="str">
        <f t="shared" si="6"/>
        <v/>
      </c>
      <c r="AE21" s="16">
        <f t="shared" si="7"/>
        <v>1</v>
      </c>
      <c r="AF21" s="16">
        <f t="shared" si="8"/>
        <v>0</v>
      </c>
      <c r="AG21" s="17" t="str">
        <f t="shared" si="9"/>
        <v/>
      </c>
    </row>
    <row r="22" spans="1:33" x14ac:dyDescent="0.25">
      <c r="A22" s="8" t="s">
        <v>145</v>
      </c>
      <c r="B22" s="9" t="s">
        <v>146</v>
      </c>
      <c r="C22" s="9" t="s">
        <v>74</v>
      </c>
      <c r="D22" s="10">
        <v>46254</v>
      </c>
      <c r="E22" s="11">
        <f>INDEX(Lists!$B$5:$B$13,MATCH(C22,Lists!$A$5:$A$13,0))</f>
        <v>30</v>
      </c>
      <c r="F22" s="12">
        <f t="shared" si="0"/>
        <v>46284</v>
      </c>
      <c r="G22" s="9" t="s">
        <v>147</v>
      </c>
      <c r="H22" s="9" t="s">
        <v>148</v>
      </c>
      <c r="I22" s="9" t="s">
        <v>77</v>
      </c>
      <c r="J22" s="11">
        <f>INDEX(Lists!$E$5:$E$14,MATCH(I22,Lists!$D$5:$D$14,0))</f>
        <v>6200</v>
      </c>
      <c r="K22" s="11" t="str">
        <f>INDEX(Lists!$F$5:$F$14,MATCH(I22,Lists!$D$5:$D$14,0))</f>
        <v>N</v>
      </c>
      <c r="L22" s="9"/>
      <c r="M22" s="13">
        <v>274.89999999999998</v>
      </c>
      <c r="N22" s="9" t="s">
        <v>58</v>
      </c>
      <c r="O22" s="13">
        <v>13.75</v>
      </c>
      <c r="P22" s="14">
        <f>ROUND(M22*INDEX(Lists!$I$5:$I$6,MATCH(N22,Lists!$H$5:$H$6,0)),2)</f>
        <v>13.75</v>
      </c>
      <c r="Q22" s="15">
        <f t="shared" si="1"/>
        <v>288.64999999999998</v>
      </c>
      <c r="R22" s="9" t="s">
        <v>59</v>
      </c>
      <c r="S22" s="9" t="s">
        <v>69</v>
      </c>
      <c r="T22" s="9" t="s">
        <v>70</v>
      </c>
      <c r="U22" s="9" t="s">
        <v>71</v>
      </c>
      <c r="V22" s="10">
        <v>46283</v>
      </c>
      <c r="W22" s="13">
        <v>288.64999999999998</v>
      </c>
      <c r="X22" s="15">
        <f t="shared" si="2"/>
        <v>0</v>
      </c>
      <c r="Y22" s="8" t="str">
        <f>IF(COUNTIFS($C$6:C22,C22,$B$6:B22,B22)&gt;1,"DUPLICATE","")</f>
        <v/>
      </c>
      <c r="Z22" s="8" t="str">
        <f>IF(AND(Y22="",COUNTIFS($C$6:C22,C22,$Q$6:Q22,Q22,$D$6:D22,"&gt;="&amp;(D22-14),$D$6:D22,"&lt;="&amp;(D22+14))&gt;1),"CHECK","")</f>
        <v/>
      </c>
      <c r="AA22" s="8" t="str">
        <f t="shared" si="3"/>
        <v/>
      </c>
      <c r="AB22" s="8" t="str">
        <f t="shared" si="4"/>
        <v/>
      </c>
      <c r="AC22" s="8" t="str">
        <f t="shared" si="5"/>
        <v/>
      </c>
      <c r="AD22" s="8" t="str">
        <f t="shared" si="6"/>
        <v/>
      </c>
      <c r="AE22" s="16">
        <f t="shared" si="7"/>
        <v>0</v>
      </c>
      <c r="AF22" s="16">
        <f t="shared" si="8"/>
        <v>0</v>
      </c>
      <c r="AG22" s="17" t="str">
        <f t="shared" si="9"/>
        <v/>
      </c>
    </row>
    <row r="23" spans="1:33" x14ac:dyDescent="0.25">
      <c r="A23" s="8" t="s">
        <v>149</v>
      </c>
      <c r="B23" s="9" t="s">
        <v>150</v>
      </c>
      <c r="C23" s="9" t="s">
        <v>151</v>
      </c>
      <c r="D23" s="10">
        <v>46253</v>
      </c>
      <c r="E23" s="11">
        <f>INDEX(Lists!$B$5:$B$13,MATCH(C23,Lists!$A$5:$A$13,0))</f>
        <v>30</v>
      </c>
      <c r="F23" s="12">
        <f t="shared" si="0"/>
        <v>46283</v>
      </c>
      <c r="G23" s="9" t="s">
        <v>152</v>
      </c>
      <c r="H23" s="9" t="s">
        <v>153</v>
      </c>
      <c r="I23" s="9" t="s">
        <v>154</v>
      </c>
      <c r="J23" s="11">
        <f>INDEX(Lists!$E$5:$E$14,MATCH(I23,Lists!$D$5:$D$14,0))</f>
        <v>6600</v>
      </c>
      <c r="K23" s="11" t="str">
        <f>INDEX(Lists!$F$5:$F$14,MATCH(I23,Lists!$D$5:$D$14,0))</f>
        <v>N</v>
      </c>
      <c r="L23" s="9"/>
      <c r="M23" s="13">
        <v>6200</v>
      </c>
      <c r="N23" s="9" t="s">
        <v>155</v>
      </c>
      <c r="O23" s="13">
        <v>310</v>
      </c>
      <c r="P23" s="14">
        <f>ROUND(M23*INDEX(Lists!$I$5:$I$6,MATCH(N23,Lists!$H$5:$H$6,0)),2)</f>
        <v>0</v>
      </c>
      <c r="Q23" s="15">
        <f t="shared" si="1"/>
        <v>6510</v>
      </c>
      <c r="R23" s="9" t="s">
        <v>59</v>
      </c>
      <c r="S23" s="9" t="s">
        <v>69</v>
      </c>
      <c r="T23" s="9" t="s">
        <v>61</v>
      </c>
      <c r="U23" s="9" t="s">
        <v>71</v>
      </c>
      <c r="V23" s="10">
        <v>46281</v>
      </c>
      <c r="W23" s="13">
        <v>6510</v>
      </c>
      <c r="X23" s="15">
        <f t="shared" si="2"/>
        <v>0</v>
      </c>
      <c r="Y23" s="8" t="str">
        <f>IF(COUNTIFS($C$6:C23,C23,$B$6:B23,B23)&gt;1,"DUPLICATE","")</f>
        <v/>
      </c>
      <c r="Z23" s="8" t="str">
        <f>IF(AND(Y23="",COUNTIFS($C$6:C23,C23,$Q$6:Q23,Q23,$D$6:D23,"&gt;="&amp;(D23-14),$D$6:D23,"&lt;="&amp;(D23+14))&gt;1),"CHECK","")</f>
        <v/>
      </c>
      <c r="AA23" s="8" t="str">
        <f t="shared" si="3"/>
        <v>TAX?</v>
      </c>
      <c r="AB23" s="8" t="str">
        <f t="shared" si="4"/>
        <v/>
      </c>
      <c r="AC23" s="8" t="str">
        <f t="shared" si="5"/>
        <v/>
      </c>
      <c r="AD23" s="8" t="str">
        <f t="shared" si="6"/>
        <v/>
      </c>
      <c r="AE23" s="16">
        <f t="shared" si="7"/>
        <v>1</v>
      </c>
      <c r="AF23" s="16">
        <f t="shared" si="8"/>
        <v>0</v>
      </c>
      <c r="AG23" s="17" t="str">
        <f t="shared" si="9"/>
        <v/>
      </c>
    </row>
    <row r="24" spans="1:33" x14ac:dyDescent="0.25">
      <c r="A24" s="8" t="s">
        <v>156</v>
      </c>
      <c r="B24" s="9" t="s">
        <v>157</v>
      </c>
      <c r="C24" s="9" t="s">
        <v>127</v>
      </c>
      <c r="D24" s="10">
        <v>46254</v>
      </c>
      <c r="E24" s="11">
        <f>INDEX(Lists!$B$5:$B$13,MATCH(C24,Lists!$A$5:$A$13,0))</f>
        <v>30</v>
      </c>
      <c r="F24" s="12">
        <f t="shared" si="0"/>
        <v>46284</v>
      </c>
      <c r="G24" s="9" t="s">
        <v>158</v>
      </c>
      <c r="H24" s="9" t="s">
        <v>159</v>
      </c>
      <c r="I24" s="9" t="s">
        <v>130</v>
      </c>
      <c r="J24" s="11">
        <f>INDEX(Lists!$E$5:$E$14,MATCH(I24,Lists!$D$5:$D$14,0))</f>
        <v>6300</v>
      </c>
      <c r="K24" s="11" t="str">
        <f>INDEX(Lists!$F$5:$F$14,MATCH(I24,Lists!$D$5:$D$14,0))</f>
        <v>N</v>
      </c>
      <c r="L24" s="9"/>
      <c r="M24" s="13">
        <v>1325</v>
      </c>
      <c r="N24" s="9" t="s">
        <v>58</v>
      </c>
      <c r="O24" s="13">
        <v>66.25</v>
      </c>
      <c r="P24" s="14">
        <f>ROUND(M24*INDEX(Lists!$I$5:$I$6,MATCH(N24,Lists!$H$5:$H$6,0)),2)</f>
        <v>66.25</v>
      </c>
      <c r="Q24" s="15">
        <f t="shared" si="1"/>
        <v>1391.25</v>
      </c>
      <c r="R24" s="9" t="s">
        <v>59</v>
      </c>
      <c r="S24" s="9" t="s">
        <v>69</v>
      </c>
      <c r="T24" s="9" t="s">
        <v>85</v>
      </c>
      <c r="U24" s="9" t="s">
        <v>160</v>
      </c>
      <c r="V24" s="10">
        <v>46285</v>
      </c>
      <c r="W24" s="13">
        <v>700</v>
      </c>
      <c r="X24" s="15">
        <f t="shared" si="2"/>
        <v>691.25</v>
      </c>
      <c r="Y24" s="8" t="str">
        <f>IF(COUNTIFS($C$6:C24,C24,$B$6:B24,B24)&gt;1,"DUPLICATE","")</f>
        <v/>
      </c>
      <c r="Z24" s="8" t="str">
        <f>IF(AND(Y24="",COUNTIFS($C$6:C24,C24,$Q$6:Q24,Q24,$D$6:D24,"&gt;="&amp;(D24-14),$D$6:D24,"&lt;="&amp;(D24+14))&gt;1),"CHECK","")</f>
        <v/>
      </c>
      <c r="AA24" s="8" t="str">
        <f t="shared" si="3"/>
        <v/>
      </c>
      <c r="AB24" s="8" t="str">
        <f t="shared" si="4"/>
        <v/>
      </c>
      <c r="AC24" s="8" t="str">
        <f t="shared" si="5"/>
        <v/>
      </c>
      <c r="AD24" s="8" t="str">
        <f t="shared" si="6"/>
        <v/>
      </c>
      <c r="AE24" s="16">
        <f t="shared" si="7"/>
        <v>0</v>
      </c>
      <c r="AF24" s="16">
        <f t="shared" si="8"/>
        <v>20</v>
      </c>
      <c r="AG24" s="17">
        <f t="shared" si="9"/>
        <v>20.002400000000002</v>
      </c>
    </row>
    <row r="25" spans="1:33" x14ac:dyDescent="0.25">
      <c r="A25" s="8" t="s">
        <v>161</v>
      </c>
      <c r="B25" s="9" t="s">
        <v>162</v>
      </c>
      <c r="C25" s="9" t="s">
        <v>65</v>
      </c>
      <c r="D25" s="10">
        <v>46231</v>
      </c>
      <c r="E25" s="11">
        <f>INDEX(Lists!$B$5:$B$13,MATCH(C25,Lists!$A$5:$A$13,0))</f>
        <v>30</v>
      </c>
      <c r="F25" s="12">
        <f t="shared" si="0"/>
        <v>46261</v>
      </c>
      <c r="G25" s="9" t="s">
        <v>105</v>
      </c>
      <c r="H25" s="9" t="s">
        <v>106</v>
      </c>
      <c r="I25" s="9" t="s">
        <v>68</v>
      </c>
      <c r="J25" s="11">
        <f>INDEX(Lists!$E$5:$E$14,MATCH(I25,Lists!$D$5:$D$14,0))</f>
        <v>6100</v>
      </c>
      <c r="K25" s="11" t="str">
        <f>INDEX(Lists!$F$5:$F$14,MATCH(I25,Lists!$D$5:$D$14,0))</f>
        <v>N</v>
      </c>
      <c r="L25" s="9"/>
      <c r="M25" s="13">
        <v>2175</v>
      </c>
      <c r="N25" s="9" t="s">
        <v>58</v>
      </c>
      <c r="O25" s="13">
        <v>108.75</v>
      </c>
      <c r="P25" s="14">
        <f>ROUND(M25*INDEX(Lists!$I$5:$I$6,MATCH(N25,Lists!$H$5:$H$6,0)),2)</f>
        <v>108.75</v>
      </c>
      <c r="Q25" s="15">
        <f t="shared" si="1"/>
        <v>2283.75</v>
      </c>
      <c r="R25" s="9" t="s">
        <v>59</v>
      </c>
      <c r="S25" s="9" t="s">
        <v>114</v>
      </c>
      <c r="T25" s="9" t="s">
        <v>70</v>
      </c>
      <c r="U25" s="9" t="s">
        <v>62</v>
      </c>
      <c r="V25" s="10"/>
      <c r="W25" s="13">
        <v>0</v>
      </c>
      <c r="X25" s="15">
        <f t="shared" si="2"/>
        <v>2283.75</v>
      </c>
      <c r="Y25" s="8" t="str">
        <f>IF(COUNTIFS($C$6:C25,C25,$B$6:B25,B25)&gt;1,"DUPLICATE","")</f>
        <v/>
      </c>
      <c r="Z25" s="8" t="str">
        <f>IF(AND(Y25="",COUNTIFS($C$6:C25,C25,$Q$6:Q25,Q25,$D$6:D25,"&gt;="&amp;(D25-14),$D$6:D25,"&lt;="&amp;(D25+14))&gt;1),"CHECK","")</f>
        <v>CHECK</v>
      </c>
      <c r="AA25" s="8" t="str">
        <f t="shared" si="3"/>
        <v/>
      </c>
      <c r="AB25" s="8" t="str">
        <f t="shared" si="4"/>
        <v/>
      </c>
      <c r="AC25" s="8" t="str">
        <f t="shared" si="5"/>
        <v/>
      </c>
      <c r="AD25" s="8" t="str">
        <f t="shared" si="6"/>
        <v/>
      </c>
      <c r="AE25" s="16">
        <f t="shared" si="7"/>
        <v>1</v>
      </c>
      <c r="AF25" s="16">
        <f t="shared" si="8"/>
        <v>43</v>
      </c>
      <c r="AG25" s="17">
        <f t="shared" si="9"/>
        <v>43.002499999999998</v>
      </c>
    </row>
    <row r="26" spans="1:33" x14ac:dyDescent="0.25">
      <c r="A26" s="8" t="s">
        <v>163</v>
      </c>
      <c r="B26" s="9" t="s">
        <v>164</v>
      </c>
      <c r="C26" s="9" t="s">
        <v>99</v>
      </c>
      <c r="D26" s="10">
        <v>46275</v>
      </c>
      <c r="E26" s="11">
        <f>INDEX(Lists!$B$5:$B$13,MATCH(C26,Lists!$A$5:$A$13,0))</f>
        <v>15</v>
      </c>
      <c r="F26" s="12">
        <f t="shared" si="0"/>
        <v>46290</v>
      </c>
      <c r="G26" s="9" t="s">
        <v>165</v>
      </c>
      <c r="H26" s="9" t="s">
        <v>166</v>
      </c>
      <c r="I26" s="9" t="s">
        <v>102</v>
      </c>
      <c r="J26" s="11">
        <f>INDEX(Lists!$E$5:$E$14,MATCH(I26,Lists!$D$5:$D$14,0))</f>
        <v>6400</v>
      </c>
      <c r="K26" s="11" t="str">
        <f>INDEX(Lists!$F$5:$F$14,MATCH(I26,Lists!$D$5:$D$14,0))</f>
        <v>N</v>
      </c>
      <c r="L26" s="9" t="s">
        <v>57</v>
      </c>
      <c r="M26" s="13">
        <v>918</v>
      </c>
      <c r="N26" s="9" t="s">
        <v>58</v>
      </c>
      <c r="O26" s="13">
        <v>45.9</v>
      </c>
      <c r="P26" s="14">
        <f>ROUND(M26*INDEX(Lists!$I$5:$I$6,MATCH(N26,Lists!$H$5:$H$6,0)),2)</f>
        <v>45.9</v>
      </c>
      <c r="Q26" s="15">
        <f t="shared" si="1"/>
        <v>963.9</v>
      </c>
      <c r="R26" s="9" t="s">
        <v>59</v>
      </c>
      <c r="S26" s="9" t="s">
        <v>69</v>
      </c>
      <c r="T26" s="9" t="s">
        <v>85</v>
      </c>
      <c r="U26" s="9" t="s">
        <v>62</v>
      </c>
      <c r="V26" s="10"/>
      <c r="W26" s="13">
        <v>0</v>
      </c>
      <c r="X26" s="15">
        <f t="shared" si="2"/>
        <v>963.9</v>
      </c>
      <c r="Y26" s="8" t="str">
        <f>IF(COUNTIFS($C$6:C26,C26,$B$6:B26,B26)&gt;1,"DUPLICATE","")</f>
        <v/>
      </c>
      <c r="Z26" s="8" t="str">
        <f>IF(AND(Y26="",COUNTIFS($C$6:C26,C26,$Q$6:Q26,Q26,$D$6:D26,"&gt;="&amp;(D26-14),$D$6:D26,"&lt;="&amp;(D26+14))&gt;1),"CHECK","")</f>
        <v/>
      </c>
      <c r="AA26" s="8" t="str">
        <f t="shared" si="3"/>
        <v/>
      </c>
      <c r="AB26" s="8" t="str">
        <f t="shared" si="4"/>
        <v/>
      </c>
      <c r="AC26" s="8" t="str">
        <f t="shared" si="5"/>
        <v/>
      </c>
      <c r="AD26" s="8" t="str">
        <f t="shared" si="6"/>
        <v/>
      </c>
      <c r="AE26" s="16">
        <f t="shared" si="7"/>
        <v>0</v>
      </c>
      <c r="AF26" s="16">
        <f t="shared" si="8"/>
        <v>14</v>
      </c>
      <c r="AG26" s="17">
        <f t="shared" si="9"/>
        <v>14.002599999999999</v>
      </c>
    </row>
    <row r="27" spans="1:33" x14ac:dyDescent="0.25">
      <c r="A27" s="8" t="s">
        <v>167</v>
      </c>
      <c r="B27" s="9" t="s">
        <v>168</v>
      </c>
      <c r="C27" s="9" t="s">
        <v>74</v>
      </c>
      <c r="D27" s="10">
        <v>46289</v>
      </c>
      <c r="E27" s="11">
        <f>INDEX(Lists!$B$5:$B$13,MATCH(C27,Lists!$A$5:$A$13,0))</f>
        <v>30</v>
      </c>
      <c r="F27" s="12">
        <f t="shared" si="0"/>
        <v>46319</v>
      </c>
      <c r="G27" s="9" t="s">
        <v>169</v>
      </c>
      <c r="H27" s="9" t="s">
        <v>170</v>
      </c>
      <c r="I27" s="9" t="s">
        <v>77</v>
      </c>
      <c r="J27" s="11">
        <f>INDEX(Lists!$E$5:$E$14,MATCH(I27,Lists!$D$5:$D$14,0))</f>
        <v>6200</v>
      </c>
      <c r="K27" s="11" t="str">
        <f>INDEX(Lists!$F$5:$F$14,MATCH(I27,Lists!$D$5:$D$14,0))</f>
        <v>N</v>
      </c>
      <c r="L27" s="9"/>
      <c r="M27" s="13">
        <v>1480</v>
      </c>
      <c r="N27" s="9" t="s">
        <v>58</v>
      </c>
      <c r="O27" s="13">
        <v>74</v>
      </c>
      <c r="P27" s="14">
        <f>ROUND(M27*INDEX(Lists!$I$5:$I$6,MATCH(N27,Lists!$H$5:$H$6,0)),2)</f>
        <v>74</v>
      </c>
      <c r="Q27" s="15">
        <f t="shared" si="1"/>
        <v>1554</v>
      </c>
      <c r="R27" s="9" t="s">
        <v>59</v>
      </c>
      <c r="S27" s="9" t="s">
        <v>69</v>
      </c>
      <c r="T27" s="9" t="s">
        <v>70</v>
      </c>
      <c r="U27" s="9" t="s">
        <v>171</v>
      </c>
      <c r="V27" s="10">
        <v>46318</v>
      </c>
      <c r="W27" s="13">
        <v>0</v>
      </c>
      <c r="X27" s="15">
        <f t="shared" si="2"/>
        <v>1554</v>
      </c>
      <c r="Y27" s="8" t="str">
        <f>IF(COUNTIFS($C$6:C27,C27,$B$6:B27,B27)&gt;1,"DUPLICATE","")</f>
        <v/>
      </c>
      <c r="Z27" s="8" t="str">
        <f>IF(AND(Y27="",COUNTIFS($C$6:C27,C27,$Q$6:Q27,Q27,$D$6:D27,"&gt;="&amp;(D27-14),$D$6:D27,"&lt;="&amp;(D27+14))&gt;1),"CHECK","")</f>
        <v/>
      </c>
      <c r="AA27" s="8" t="str">
        <f t="shared" si="3"/>
        <v/>
      </c>
      <c r="AB27" s="8" t="str">
        <f t="shared" si="4"/>
        <v/>
      </c>
      <c r="AC27" s="8" t="str">
        <f t="shared" si="5"/>
        <v/>
      </c>
      <c r="AD27" s="8" t="str">
        <f t="shared" si="6"/>
        <v/>
      </c>
      <c r="AE27" s="16">
        <f t="shared" si="7"/>
        <v>0</v>
      </c>
      <c r="AF27" s="16">
        <f t="shared" si="8"/>
        <v>0</v>
      </c>
      <c r="AG27" s="17" t="str">
        <f t="shared" si="9"/>
        <v/>
      </c>
    </row>
    <row r="28" spans="1:33" x14ac:dyDescent="0.25">
      <c r="A28" s="8" t="s">
        <v>172</v>
      </c>
      <c r="B28" s="9" t="s">
        <v>173</v>
      </c>
      <c r="C28" s="9" t="s">
        <v>53</v>
      </c>
      <c r="D28" s="10">
        <v>46267</v>
      </c>
      <c r="E28" s="11">
        <f>INDEX(Lists!$B$5:$B$13,MATCH(C28,Lists!$A$5:$A$13,0))</f>
        <v>30</v>
      </c>
      <c r="F28" s="12">
        <f t="shared" si="0"/>
        <v>46297</v>
      </c>
      <c r="G28" s="9" t="s">
        <v>174</v>
      </c>
      <c r="H28" s="9" t="s">
        <v>175</v>
      </c>
      <c r="I28" s="9" t="s">
        <v>119</v>
      </c>
      <c r="J28" s="11">
        <f>INDEX(Lists!$E$5:$E$14,MATCH(I28,Lists!$D$5:$D$14,0))</f>
        <v>5100</v>
      </c>
      <c r="K28" s="11" t="str">
        <f>INDEX(Lists!$F$5:$F$14,MATCH(I28,Lists!$D$5:$D$14,0))</f>
        <v>Y</v>
      </c>
      <c r="L28" s="9" t="s">
        <v>84</v>
      </c>
      <c r="M28" s="13">
        <v>6750</v>
      </c>
      <c r="N28" s="9" t="s">
        <v>58</v>
      </c>
      <c r="O28" s="13">
        <v>337.5</v>
      </c>
      <c r="P28" s="14">
        <f>ROUND(M28*INDEX(Lists!$I$5:$I$6,MATCH(N28,Lists!$H$5:$H$6,0)),2)</f>
        <v>337.5</v>
      </c>
      <c r="Q28" s="15">
        <f t="shared" si="1"/>
        <v>7087.5</v>
      </c>
      <c r="R28" s="9" t="s">
        <v>59</v>
      </c>
      <c r="S28" s="9" t="s">
        <v>69</v>
      </c>
      <c r="T28" s="9" t="s">
        <v>61</v>
      </c>
      <c r="U28" s="9" t="s">
        <v>71</v>
      </c>
      <c r="V28" s="10">
        <v>46296</v>
      </c>
      <c r="W28" s="13">
        <v>7087.5</v>
      </c>
      <c r="X28" s="15">
        <f t="shared" si="2"/>
        <v>0</v>
      </c>
      <c r="Y28" s="8" t="str">
        <f>IF(COUNTIFS($C$6:C28,C28,$B$6:B28,B28)&gt;1,"DUPLICATE","")</f>
        <v/>
      </c>
      <c r="Z28" s="8" t="str">
        <f>IF(AND(Y28="",COUNTIFS($C$6:C28,C28,$Q$6:Q28,Q28,$D$6:D28,"&gt;="&amp;(D28-14),$D$6:D28,"&lt;="&amp;(D28+14))&gt;1),"CHECK","")</f>
        <v/>
      </c>
      <c r="AA28" s="8" t="str">
        <f t="shared" si="3"/>
        <v/>
      </c>
      <c r="AB28" s="8" t="str">
        <f t="shared" si="4"/>
        <v/>
      </c>
      <c r="AC28" s="8" t="str">
        <f t="shared" si="5"/>
        <v/>
      </c>
      <c r="AD28" s="8" t="str">
        <f t="shared" si="6"/>
        <v/>
      </c>
      <c r="AE28" s="16">
        <f t="shared" si="7"/>
        <v>0</v>
      </c>
      <c r="AF28" s="16">
        <f t="shared" si="8"/>
        <v>0</v>
      </c>
      <c r="AG28" s="17" t="str">
        <f t="shared" si="9"/>
        <v/>
      </c>
    </row>
    <row r="29" spans="1:33" x14ac:dyDescent="0.25">
      <c r="A29" s="8" t="s">
        <v>176</v>
      </c>
      <c r="B29" s="9" t="s">
        <v>177</v>
      </c>
      <c r="C29" s="9" t="s">
        <v>80</v>
      </c>
      <c r="D29" s="10">
        <v>46267</v>
      </c>
      <c r="E29" s="11">
        <f>INDEX(Lists!$B$5:$B$13,MATCH(C29,Lists!$A$5:$A$13,0))</f>
        <v>15</v>
      </c>
      <c r="F29" s="12">
        <f t="shared" si="0"/>
        <v>46282</v>
      </c>
      <c r="G29" s="9" t="s">
        <v>178</v>
      </c>
      <c r="H29" s="9" t="s">
        <v>82</v>
      </c>
      <c r="I29" s="9" t="s">
        <v>83</v>
      </c>
      <c r="J29" s="11">
        <f>INDEX(Lists!$E$5:$E$14,MATCH(I29,Lists!$D$5:$D$14,0))</f>
        <v>5400</v>
      </c>
      <c r="K29" s="11" t="str">
        <f>INDEX(Lists!$F$5:$F$14,MATCH(I29,Lists!$D$5:$D$14,0))</f>
        <v>Y</v>
      </c>
      <c r="L29" s="9" t="s">
        <v>92</v>
      </c>
      <c r="M29" s="13">
        <v>3120</v>
      </c>
      <c r="N29" s="9" t="s">
        <v>58</v>
      </c>
      <c r="O29" s="13">
        <v>156</v>
      </c>
      <c r="P29" s="14">
        <f>ROUND(M29*INDEX(Lists!$I$5:$I$6,MATCH(N29,Lists!$H$5:$H$6,0)),2)</f>
        <v>156</v>
      </c>
      <c r="Q29" s="15">
        <f t="shared" si="1"/>
        <v>3276</v>
      </c>
      <c r="R29" s="9" t="s">
        <v>120</v>
      </c>
      <c r="S29" s="9" t="s">
        <v>69</v>
      </c>
      <c r="T29" s="9" t="s">
        <v>85</v>
      </c>
      <c r="U29" s="9" t="s">
        <v>62</v>
      </c>
      <c r="V29" s="10"/>
      <c r="W29" s="13">
        <v>0</v>
      </c>
      <c r="X29" s="15">
        <f t="shared" si="2"/>
        <v>3276</v>
      </c>
      <c r="Y29" s="8" t="str">
        <f>IF(COUNTIFS($C$6:C29,C29,$B$6:B29,B29)&gt;1,"DUPLICATE","")</f>
        <v/>
      </c>
      <c r="Z29" s="8" t="str">
        <f>IF(AND(Y29="",COUNTIFS($C$6:C29,C29,$Q$6:Q29,Q29,$D$6:D29,"&gt;="&amp;(D29-14),$D$6:D29,"&lt;="&amp;(D29+14))&gt;1),"CHECK","")</f>
        <v/>
      </c>
      <c r="AA29" s="8" t="str">
        <f t="shared" si="3"/>
        <v/>
      </c>
      <c r="AB29" s="8" t="str">
        <f t="shared" si="4"/>
        <v>NO DOCS</v>
      </c>
      <c r="AC29" s="8" t="str">
        <f t="shared" si="5"/>
        <v/>
      </c>
      <c r="AD29" s="8" t="str">
        <f t="shared" si="6"/>
        <v/>
      </c>
      <c r="AE29" s="16">
        <f t="shared" si="7"/>
        <v>1</v>
      </c>
      <c r="AF29" s="16">
        <f t="shared" si="8"/>
        <v>22</v>
      </c>
      <c r="AG29" s="17">
        <f t="shared" si="9"/>
        <v>22.0029</v>
      </c>
    </row>
    <row r="30" spans="1:33" x14ac:dyDescent="0.25">
      <c r="A30" s="8" t="s">
        <v>179</v>
      </c>
      <c r="B30" s="9" t="s">
        <v>180</v>
      </c>
      <c r="C30" s="9" t="s">
        <v>80</v>
      </c>
      <c r="D30" s="10">
        <v>46297</v>
      </c>
      <c r="E30" s="11">
        <f>INDEX(Lists!$B$5:$B$13,MATCH(C30,Lists!$A$5:$A$13,0))</f>
        <v>15</v>
      </c>
      <c r="F30" s="12">
        <f t="shared" si="0"/>
        <v>46312</v>
      </c>
      <c r="G30" s="9" t="s">
        <v>181</v>
      </c>
      <c r="H30" s="9" t="s">
        <v>82</v>
      </c>
      <c r="I30" s="9" t="s">
        <v>83</v>
      </c>
      <c r="J30" s="11">
        <f>INDEX(Lists!$E$5:$E$14,MATCH(I30,Lists!$D$5:$D$14,0))</f>
        <v>5400</v>
      </c>
      <c r="K30" s="11" t="str">
        <f>INDEX(Lists!$F$5:$F$14,MATCH(I30,Lists!$D$5:$D$14,0))</f>
        <v>Y</v>
      </c>
      <c r="L30" s="9" t="s">
        <v>84</v>
      </c>
      <c r="M30" s="13">
        <v>2980</v>
      </c>
      <c r="N30" s="9" t="s">
        <v>58</v>
      </c>
      <c r="O30" s="13">
        <v>149</v>
      </c>
      <c r="P30" s="14">
        <f>ROUND(M30*INDEX(Lists!$I$5:$I$6,MATCH(N30,Lists!$H$5:$H$6,0)),2)</f>
        <v>149</v>
      </c>
      <c r="Q30" s="15">
        <f t="shared" si="1"/>
        <v>3129</v>
      </c>
      <c r="R30" s="9" t="s">
        <v>59</v>
      </c>
      <c r="S30" s="9" t="s">
        <v>69</v>
      </c>
      <c r="T30" s="9" t="s">
        <v>85</v>
      </c>
      <c r="U30" s="9" t="s">
        <v>171</v>
      </c>
      <c r="V30" s="10">
        <v>46311</v>
      </c>
      <c r="W30" s="13">
        <v>0</v>
      </c>
      <c r="X30" s="15">
        <f t="shared" si="2"/>
        <v>3129</v>
      </c>
      <c r="Y30" s="8" t="str">
        <f>IF(COUNTIFS($C$6:C30,C30,$B$6:B30,B30)&gt;1,"DUPLICATE","")</f>
        <v/>
      </c>
      <c r="Z30" s="8" t="str">
        <f>IF(AND(Y30="",COUNTIFS($C$6:C30,C30,$Q$6:Q30,Q30,$D$6:D30,"&gt;="&amp;(D30-14),$D$6:D30,"&lt;="&amp;(D30+14))&gt;1),"CHECK","")</f>
        <v/>
      </c>
      <c r="AA30" s="8" t="str">
        <f t="shared" si="3"/>
        <v/>
      </c>
      <c r="AB30" s="8" t="str">
        <f t="shared" si="4"/>
        <v/>
      </c>
      <c r="AC30" s="8" t="str">
        <f t="shared" si="5"/>
        <v/>
      </c>
      <c r="AD30" s="8" t="str">
        <f t="shared" si="6"/>
        <v/>
      </c>
      <c r="AE30" s="16">
        <f t="shared" si="7"/>
        <v>0</v>
      </c>
      <c r="AF30" s="16">
        <f t="shared" si="8"/>
        <v>0</v>
      </c>
      <c r="AG30" s="17" t="str">
        <f t="shared" si="9"/>
        <v/>
      </c>
    </row>
    <row r="31" spans="1:33" x14ac:dyDescent="0.25">
      <c r="A31" s="8" t="s">
        <v>182</v>
      </c>
      <c r="B31" s="9" t="s">
        <v>183</v>
      </c>
      <c r="C31" s="9" t="s">
        <v>127</v>
      </c>
      <c r="D31" s="10">
        <v>46300</v>
      </c>
      <c r="E31" s="11">
        <f>INDEX(Lists!$B$5:$B$13,MATCH(C31,Lists!$A$5:$A$13,0))</f>
        <v>30</v>
      </c>
      <c r="F31" s="12">
        <f t="shared" si="0"/>
        <v>46330</v>
      </c>
      <c r="G31" s="9" t="s">
        <v>184</v>
      </c>
      <c r="H31" s="9" t="s">
        <v>185</v>
      </c>
      <c r="I31" s="9" t="s">
        <v>130</v>
      </c>
      <c r="J31" s="11">
        <f>INDEX(Lists!$E$5:$E$14,MATCH(I31,Lists!$D$5:$D$14,0))</f>
        <v>6300</v>
      </c>
      <c r="K31" s="11" t="str">
        <f>INDEX(Lists!$F$5:$F$14,MATCH(I31,Lists!$D$5:$D$14,0))</f>
        <v>N</v>
      </c>
      <c r="L31" s="9"/>
      <c r="M31" s="13">
        <v>1325</v>
      </c>
      <c r="N31" s="9" t="s">
        <v>58</v>
      </c>
      <c r="O31" s="13">
        <v>66.25</v>
      </c>
      <c r="P31" s="14">
        <f>ROUND(M31*INDEX(Lists!$I$5:$I$6,MATCH(N31,Lists!$H$5:$H$6,0)),2)</f>
        <v>66.25</v>
      </c>
      <c r="Q31" s="15">
        <f t="shared" si="1"/>
        <v>1391.25</v>
      </c>
      <c r="R31" s="9" t="s">
        <v>59</v>
      </c>
      <c r="S31" s="9" t="s">
        <v>114</v>
      </c>
      <c r="T31" s="9" t="s">
        <v>85</v>
      </c>
      <c r="U31" s="9" t="s">
        <v>62</v>
      </c>
      <c r="V31" s="10"/>
      <c r="W31" s="13">
        <v>0</v>
      </c>
      <c r="X31" s="15">
        <f t="shared" si="2"/>
        <v>1391.25</v>
      </c>
      <c r="Y31" s="8" t="str">
        <f>IF(COUNTIFS($C$6:C31,C31,$B$6:B31,B31)&gt;1,"DUPLICATE","")</f>
        <v/>
      </c>
      <c r="Z31" s="8" t="str">
        <f>IF(AND(Y31="",COUNTIFS($C$6:C31,C31,$Q$6:Q31,Q31,$D$6:D31,"&gt;="&amp;(D31-14),$D$6:D31,"&lt;="&amp;(D31+14))&gt;1),"CHECK","")</f>
        <v/>
      </c>
      <c r="AA31" s="8" t="str">
        <f t="shared" si="3"/>
        <v/>
      </c>
      <c r="AB31" s="8" t="str">
        <f t="shared" si="4"/>
        <v/>
      </c>
      <c r="AC31" s="8" t="str">
        <f t="shared" si="5"/>
        <v/>
      </c>
      <c r="AD31" s="8" t="str">
        <f t="shared" si="6"/>
        <v/>
      </c>
      <c r="AE31" s="16">
        <f t="shared" si="7"/>
        <v>0</v>
      </c>
      <c r="AF31" s="16">
        <f t="shared" si="8"/>
        <v>0</v>
      </c>
      <c r="AG31" s="17" t="str">
        <f t="shared" si="9"/>
        <v/>
      </c>
    </row>
    <row r="32" spans="1:33" x14ac:dyDescent="0.25">
      <c r="A32" s="8" t="s">
        <v>186</v>
      </c>
      <c r="B32" s="9" t="s">
        <v>187</v>
      </c>
      <c r="C32" s="9" t="s">
        <v>88</v>
      </c>
      <c r="D32" s="10">
        <v>46301</v>
      </c>
      <c r="E32" s="11">
        <f>INDEX(Lists!$B$5:$B$13,MATCH(C32,Lists!$A$5:$A$13,0))</f>
        <v>45</v>
      </c>
      <c r="F32" s="12">
        <f t="shared" si="0"/>
        <v>46346</v>
      </c>
      <c r="G32" s="9" t="s">
        <v>188</v>
      </c>
      <c r="H32" s="9" t="s">
        <v>189</v>
      </c>
      <c r="I32" s="9" t="s">
        <v>91</v>
      </c>
      <c r="J32" s="11">
        <f>INDEX(Lists!$E$5:$E$14,MATCH(I32,Lists!$D$5:$D$14,0))</f>
        <v>5300</v>
      </c>
      <c r="K32" s="11" t="str">
        <f>INDEX(Lists!$F$5:$F$14,MATCH(I32,Lists!$D$5:$D$14,0))</f>
        <v>Y</v>
      </c>
      <c r="L32" s="9" t="s">
        <v>92</v>
      </c>
      <c r="M32" s="13">
        <v>12400</v>
      </c>
      <c r="N32" s="9" t="s">
        <v>58</v>
      </c>
      <c r="O32" s="13">
        <v>620</v>
      </c>
      <c r="P32" s="14">
        <f>ROUND(M32*INDEX(Lists!$I$5:$I$6,MATCH(N32,Lists!$H$5:$H$6,0)),2)</f>
        <v>620</v>
      </c>
      <c r="Q32" s="15">
        <f t="shared" si="1"/>
        <v>13020</v>
      </c>
      <c r="R32" s="9" t="s">
        <v>59</v>
      </c>
      <c r="S32" s="9" t="s">
        <v>114</v>
      </c>
      <c r="T32" s="9" t="s">
        <v>61</v>
      </c>
      <c r="U32" s="9" t="s">
        <v>62</v>
      </c>
      <c r="V32" s="10"/>
      <c r="W32" s="13">
        <v>0</v>
      </c>
      <c r="X32" s="15">
        <f t="shared" si="2"/>
        <v>13020</v>
      </c>
      <c r="Y32" s="8" t="str">
        <f>IF(COUNTIFS($C$6:C32,C32,$B$6:B32,B32)&gt;1,"DUPLICATE","")</f>
        <v/>
      </c>
      <c r="Z32" s="8" t="str">
        <f>IF(AND(Y32="",COUNTIFS($C$6:C32,C32,$Q$6:Q32,Q32,$D$6:D32,"&gt;="&amp;(D32-14),$D$6:D32,"&lt;="&amp;(D32+14))&gt;1),"CHECK","")</f>
        <v/>
      </c>
      <c r="AA32" s="8" t="str">
        <f t="shared" si="3"/>
        <v/>
      </c>
      <c r="AB32" s="8" t="str">
        <f t="shared" si="4"/>
        <v/>
      </c>
      <c r="AC32" s="8" t="str">
        <f t="shared" si="5"/>
        <v/>
      </c>
      <c r="AD32" s="8" t="str">
        <f t="shared" si="6"/>
        <v/>
      </c>
      <c r="AE32" s="16">
        <f t="shared" si="7"/>
        <v>0</v>
      </c>
      <c r="AF32" s="16">
        <f t="shared" si="8"/>
        <v>0</v>
      </c>
      <c r="AG32" s="17" t="str">
        <f t="shared" si="9"/>
        <v/>
      </c>
    </row>
    <row r="33" spans="1:33" x14ac:dyDescent="0.25">
      <c r="A33" s="8" t="s">
        <v>190</v>
      </c>
      <c r="B33" s="9" t="s">
        <v>191</v>
      </c>
      <c r="C33" s="9" t="s">
        <v>151</v>
      </c>
      <c r="D33" s="10">
        <v>46309</v>
      </c>
      <c r="E33" s="11">
        <f>INDEX(Lists!$B$5:$B$13,MATCH(C33,Lists!$A$5:$A$13,0))</f>
        <v>30</v>
      </c>
      <c r="F33" s="12">
        <f t="shared" si="0"/>
        <v>46339</v>
      </c>
      <c r="G33" s="9" t="s">
        <v>192</v>
      </c>
      <c r="H33" s="9" t="s">
        <v>193</v>
      </c>
      <c r="I33" s="9" t="s">
        <v>154</v>
      </c>
      <c r="J33" s="11">
        <f>INDEX(Lists!$E$5:$E$14,MATCH(I33,Lists!$D$5:$D$14,0))</f>
        <v>6600</v>
      </c>
      <c r="K33" s="11" t="str">
        <f>INDEX(Lists!$F$5:$F$14,MATCH(I33,Lists!$D$5:$D$14,0))</f>
        <v>N</v>
      </c>
      <c r="L33" s="9"/>
      <c r="M33" s="13">
        <v>6200</v>
      </c>
      <c r="N33" s="9" t="s">
        <v>155</v>
      </c>
      <c r="O33" s="13">
        <v>0</v>
      </c>
      <c r="P33" s="14">
        <f>ROUND(M33*INDEX(Lists!$I$5:$I$6,MATCH(N33,Lists!$H$5:$H$6,0)),2)</f>
        <v>0</v>
      </c>
      <c r="Q33" s="15">
        <f t="shared" si="1"/>
        <v>6200</v>
      </c>
      <c r="R33" s="9" t="s">
        <v>59</v>
      </c>
      <c r="S33" s="9" t="s">
        <v>114</v>
      </c>
      <c r="T33" s="9" t="s">
        <v>61</v>
      </c>
      <c r="U33" s="9" t="s">
        <v>62</v>
      </c>
      <c r="V33" s="10"/>
      <c r="W33" s="13">
        <v>0</v>
      </c>
      <c r="X33" s="15">
        <f t="shared" si="2"/>
        <v>6200</v>
      </c>
      <c r="Y33" s="8" t="str">
        <f>IF(COUNTIFS($C$6:C33,C33,$B$6:B33,B33)&gt;1,"DUPLICATE","")</f>
        <v/>
      </c>
      <c r="Z33" s="8" t="str">
        <f>IF(AND(Y33="",COUNTIFS($C$6:C33,C33,$Q$6:Q33,Q33,$D$6:D33,"&gt;="&amp;(D33-14),$D$6:D33,"&lt;="&amp;(D33+14))&gt;1),"CHECK","")</f>
        <v/>
      </c>
      <c r="AA33" s="8" t="str">
        <f t="shared" si="3"/>
        <v/>
      </c>
      <c r="AB33" s="8" t="str">
        <f t="shared" si="4"/>
        <v/>
      </c>
      <c r="AC33" s="8" t="str">
        <f t="shared" si="5"/>
        <v/>
      </c>
      <c r="AD33" s="8" t="str">
        <f t="shared" si="6"/>
        <v>DATE?</v>
      </c>
      <c r="AE33" s="16">
        <f t="shared" si="7"/>
        <v>1</v>
      </c>
      <c r="AF33" s="16">
        <f t="shared" si="8"/>
        <v>0</v>
      </c>
      <c r="AG33" s="17" t="str">
        <f t="shared" si="9"/>
        <v/>
      </c>
    </row>
    <row r="34" spans="1:33" x14ac:dyDescent="0.25">
      <c r="A34" s="5" t="s">
        <v>194</v>
      </c>
      <c r="M34" s="18">
        <f>SUM(M6:M33)</f>
        <v>112629.29999999999</v>
      </c>
      <c r="O34" s="18">
        <f>SUM(O6:O33)</f>
        <v>5341.4800000000005</v>
      </c>
      <c r="P34" s="18">
        <f>SUM(P6:P33)</f>
        <v>5011.4800000000005</v>
      </c>
      <c r="Q34" s="18">
        <f>SUM(Q6:Q33)</f>
        <v>117970.77999999998</v>
      </c>
      <c r="W34" s="18">
        <f>SUM(W6:W33)</f>
        <v>29536</v>
      </c>
      <c r="X34" s="18">
        <f>SUM(X6:X33)</f>
        <v>85914.78</v>
      </c>
      <c r="AE34" s="19">
        <f>SUM(AE6:AE33)</f>
        <v>8</v>
      </c>
    </row>
  </sheetData>
  <autoFilter ref="A5:AG33" xr:uid="{00000000-0009-0000-0000-000001000000}"/>
  <mergeCells count="1">
    <mergeCell ref="A1:AG1"/>
  </mergeCells>
  <conditionalFormatting sqref="Y6:AD33">
    <cfRule type="expression" dxfId="6" priority="2">
      <formula>LEN(Y6)&gt;0</formula>
    </cfRule>
  </conditionalFormatting>
  <conditionalFormatting sqref="AE6:AE33">
    <cfRule type="cellIs" dxfId="5" priority="5" operator="greaterThan">
      <formula>0</formula>
    </cfRule>
  </conditionalFormatting>
  <conditionalFormatting sqref="AF6:AF33">
    <cfRule type="cellIs" dxfId="4" priority="3" operator="greaterThan">
      <formula>60</formula>
    </cfRule>
    <cfRule type="cellIs" dxfId="3" priority="4" operator="between">
      <formula>1</formula>
      <formula>60</formula>
    </cfRule>
  </conditionalFormatting>
  <dataValidations count="3">
    <dataValidation type="list" allowBlank="1" showErrorMessage="1" errorTitle="Invalid entry" error="Enter Y or N." sqref="R6:R33" xr:uid="{00000000-0002-0000-0100-000005000000}">
      <formula1>"Y,N"</formula1>
      <formula2>0</formula2>
    </dataValidation>
    <dataValidation type="decimal" operator="greaterThanOrEqual" allowBlank="1" showErrorMessage="1" error="Amount must be zero or more." sqref="M6:M33 O6:O33 W6:W33" xr:uid="{00000000-0002-0000-0100-000006000000}">
      <formula1>0</formula1>
      <formula2>0</formula2>
    </dataValidation>
    <dataValidation type="date" allowBlank="1" showErrorMessage="1" error="Enter a valid 2026 date." sqref="D6:D33 V6:V33" xr:uid="{00000000-0002-0000-0100-000007000000}">
      <formula1>DATE(2026,1,1)</formula1>
      <formula2>DATE(2026,12,31)</formula2>
    </dataValidation>
  </dataValidations>
  <printOptions horizontalCentered="1"/>
  <pageMargins left="0.4" right="0.4" top="0.5" bottom="0.5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errorTitle="Invalid entry" error="Pick a supplier from the Lists sheet." xr:uid="{00000000-0002-0000-0100-000000000000}">
          <x14:formula1>
            <xm:f>Lists!$A$5:$A$13</xm:f>
          </x14:formula1>
          <x14:formula2>
            <xm:f>0</xm:f>
          </x14:formula2>
          <xm:sqref>C6:C33</xm:sqref>
        </x14:dataValidation>
        <x14:dataValidation type="list" allowBlank="1" showErrorMessage="1" errorTitle="Invalid entry" error="Pick a category from the Lists sheet." xr:uid="{00000000-0002-0000-0100-000001000000}">
          <x14:formula1>
            <xm:f>Lists!$D$5:$D$14</xm:f>
          </x14:formula1>
          <x14:formula2>
            <xm:f>0</xm:f>
          </x14:formula2>
          <xm:sqref>I6:I33</xm:sqref>
        </x14:dataValidation>
        <x14:dataValidation type="list" allowBlank="1" showErrorMessage="1" errorTitle="Invalid entry" error="GST5 or EXEMPT." xr:uid="{00000000-0002-0000-0100-000002000000}">
          <x14:formula1>
            <xm:f>Lists!$H$5:$H$6</xm:f>
          </x14:formula1>
          <x14:formula2>
            <xm:f>0</xm:f>
          </x14:formula2>
          <xm:sqref>N6:N33</xm:sqref>
        </x14:dataValidation>
        <x14:dataValidation type="list" allowBlank="1" showErrorMessage="1" errorTitle="Invalid entry" error="Pick an approval status." xr:uid="{00000000-0002-0000-0100-000003000000}">
          <x14:formula1>
            <xm:f>Lists!$K$5:$K$8</xm:f>
          </x14:formula1>
          <x14:formula2>
            <xm:f>0</xm:f>
          </x14:formula2>
          <xm:sqref>S6:S33</xm:sqref>
        </x14:dataValidation>
        <x14:dataValidation type="list" allowBlank="1" showErrorMessage="1" errorTitle="Invalid entry" error="Pick a payment status." xr:uid="{00000000-0002-0000-0100-000004000000}">
          <x14:formula1>
            <xm:f>Lists!$M$5:$M$8</xm:f>
          </x14:formula1>
          <x14:formula2>
            <xm:f>0</xm:f>
          </x14:formula2>
          <xm:sqref>U6:U33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4"/>
  <sheetViews>
    <sheetView zoomScaleNormal="100" workbookViewId="0">
      <selection activeCell="C13" sqref="C13"/>
    </sheetView>
  </sheetViews>
  <sheetFormatPr defaultColWidth="8.7109375" defaultRowHeight="15" x14ac:dyDescent="0.25"/>
  <cols>
    <col min="1" max="1" width="30" customWidth="1"/>
    <col min="2" max="2" width="13" customWidth="1"/>
    <col min="3" max="3" width="30" customWidth="1"/>
    <col min="4" max="4" width="16" customWidth="1"/>
    <col min="5" max="5" width="12" customWidth="1"/>
    <col min="6" max="7" width="13" customWidth="1"/>
    <col min="8" max="8" width="11" customWidth="1"/>
    <col min="9" max="9" width="15" customWidth="1"/>
    <col min="10" max="10" width="34" customWidth="1"/>
    <col min="11" max="11" width="6" customWidth="1"/>
  </cols>
  <sheetData>
    <row r="1" spans="1:10" ht="30" customHeight="1" x14ac:dyDescent="0.2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ht="18" x14ac:dyDescent="0.25">
      <c r="A2" s="1" t="s">
        <v>195</v>
      </c>
    </row>
    <row r="3" spans="1:10" x14ac:dyDescent="0.25">
      <c r="A3" s="2" t="s">
        <v>196</v>
      </c>
    </row>
    <row r="4" spans="1:10" x14ac:dyDescent="0.25">
      <c r="A4" s="5" t="s">
        <v>6</v>
      </c>
      <c r="B4" s="20">
        <f>AP_Register!D3</f>
        <v>46304</v>
      </c>
    </row>
    <row r="5" spans="1:10" ht="30" customHeight="1" x14ac:dyDescent="0.25">
      <c r="A5" s="7" t="s">
        <v>197</v>
      </c>
      <c r="B5" s="7" t="s">
        <v>198</v>
      </c>
      <c r="C5" s="7" t="s">
        <v>199</v>
      </c>
      <c r="D5" s="7" t="s">
        <v>200</v>
      </c>
      <c r="E5" s="7" t="s">
        <v>201</v>
      </c>
    </row>
    <row r="6" spans="1:10" ht="25.5" customHeight="1" x14ac:dyDescent="0.25">
      <c r="A6" s="21">
        <f>SUM(AP_Register!$X$6:$X$33)</f>
        <v>85914.78</v>
      </c>
      <c r="B6" s="21">
        <f>SUMIFS(AP_Register!$X$6:$X$33,AP_Register!$AF$6:$AF$33,"&gt;0")</f>
        <v>60620.53</v>
      </c>
      <c r="C6" s="22">
        <f>IFERROR(B6/A6,0)</f>
        <v>0.70558907326539155</v>
      </c>
      <c r="D6" s="23">
        <f>COUNTIFS(AP_Register!$AF$6:$AF$33,"&gt;0")</f>
        <v>11</v>
      </c>
      <c r="E6" s="23">
        <f>MAX(AP_Register!$AF$6:$AF$33)</f>
        <v>93</v>
      </c>
    </row>
    <row r="8" spans="1:10" x14ac:dyDescent="0.25">
      <c r="A8" s="5" t="s">
        <v>202</v>
      </c>
    </row>
    <row r="9" spans="1:10" ht="30" customHeight="1" x14ac:dyDescent="0.25">
      <c r="A9" s="7" t="s">
        <v>203</v>
      </c>
      <c r="B9" s="7" t="s">
        <v>204</v>
      </c>
      <c r="C9" s="7" t="s">
        <v>205</v>
      </c>
      <c r="D9" s="7" t="s">
        <v>206</v>
      </c>
    </row>
    <row r="10" spans="1:10" x14ac:dyDescent="0.25">
      <c r="A10" s="8" t="s">
        <v>207</v>
      </c>
      <c r="B10" s="24">
        <f>COUNTIFS(AP_Register!$X$6:$X$33,"&gt;0",AP_Register!$AF$6:$AF$33,0)</f>
        <v>5</v>
      </c>
      <c r="C10" s="25">
        <f>SUMIFS(AP_Register!$X$6:$X$33,AP_Register!$X$6:$X$33,"&gt;0",AP_Register!$AF$6:$AF$33,0)</f>
        <v>25294.25</v>
      </c>
      <c r="D10" s="26">
        <f>IFERROR(C10/$C$15,0)</f>
        <v>0.29441092673460839</v>
      </c>
    </row>
    <row r="11" spans="1:10" x14ac:dyDescent="0.25">
      <c r="A11" s="8" t="s">
        <v>208</v>
      </c>
      <c r="B11" s="24">
        <f>COUNTIFS(AP_Register!$AF$6:$AF$33,"&gt;=1",AP_Register!$AF$6:$AF$33,"&lt;=30")</f>
        <v>4</v>
      </c>
      <c r="C11" s="25">
        <f>SUMIFS(AP_Register!$X$6:$X$33,AP_Register!$AF$6:$AF$33,"&gt;=1",AP_Register!$AF$6:$AF$33,"&lt;=30")</f>
        <v>9782.15</v>
      </c>
      <c r="D11" s="26">
        <f>IFERROR(C11/$C$15,0)</f>
        <v>0.11385875631643357</v>
      </c>
    </row>
    <row r="12" spans="1:10" x14ac:dyDescent="0.25">
      <c r="A12" s="8" t="s">
        <v>209</v>
      </c>
      <c r="B12" s="24">
        <f>COUNTIFS(AP_Register!$AF$6:$AF$33,"&gt;=31",AP_Register!$AF$6:$AF$33,"&lt;=60")</f>
        <v>5</v>
      </c>
      <c r="C12" s="25">
        <f>SUMIFS(AP_Register!$X$6:$X$33,AP_Register!$AF$6:$AF$33,"&gt;=31",AP_Register!$AF$6:$AF$33,"&lt;=60")</f>
        <v>25585.879999999997</v>
      </c>
      <c r="D12" s="26">
        <f>IFERROR(C12/$C$15,0)</f>
        <v>0.29780533686986099</v>
      </c>
    </row>
    <row r="13" spans="1:10" x14ac:dyDescent="0.25">
      <c r="A13" s="8" t="s">
        <v>210</v>
      </c>
      <c r="B13" s="24">
        <f>COUNTIFS(AP_Register!$AF$6:$AF$33,"&gt;=61",AP_Register!$AF$6:$AF$33,"&lt;=90")</f>
        <v>1</v>
      </c>
      <c r="C13" s="25">
        <f>SUMIFS(AP_Register!$X$6:$X$33,AP_Register!$AF$6:$AF$33,"&gt;=61",AP_Register!$AF$6:$AF$33,"&lt;=90")</f>
        <v>10290</v>
      </c>
      <c r="D13" s="26">
        <f>IFERROR(C13/$C$15,0)</f>
        <v>0.11976984635239711</v>
      </c>
    </row>
    <row r="14" spans="1:10" x14ac:dyDescent="0.25">
      <c r="A14" s="8" t="s">
        <v>211</v>
      </c>
      <c r="B14" s="24">
        <f>COUNTIFS(AP_Register!$AF$6:$AF$33,"&gt;90")</f>
        <v>1</v>
      </c>
      <c r="C14" s="25">
        <f>SUMIFS(AP_Register!$X$6:$X$33,AP_Register!$AF$6:$AF$33,"&gt;90")</f>
        <v>14962.5</v>
      </c>
      <c r="D14" s="26">
        <f>IFERROR(C14/$C$15,0)</f>
        <v>0.17415513372669988</v>
      </c>
    </row>
    <row r="15" spans="1:10" x14ac:dyDescent="0.25">
      <c r="A15" s="5" t="s">
        <v>212</v>
      </c>
      <c r="B15" s="19">
        <f>SUM(B10:B14)</f>
        <v>16</v>
      </c>
      <c r="C15" s="27">
        <f>SUM(C10:C14)</f>
        <v>85914.78</v>
      </c>
      <c r="D15" s="28">
        <f>SUM(D10:D14)</f>
        <v>0.99999999999999989</v>
      </c>
    </row>
    <row r="16" spans="1:10" x14ac:dyDescent="0.25">
      <c r="A16" s="8" t="s">
        <v>213</v>
      </c>
      <c r="C16" s="5" t="str">
        <f>IF(ABS(C15-A6)&lt;0.005,"OK","DIFFERENCE")</f>
        <v>OK</v>
      </c>
    </row>
    <row r="18" spans="1:11" x14ac:dyDescent="0.25">
      <c r="A18" s="5" t="s">
        <v>214</v>
      </c>
    </row>
    <row r="19" spans="1:11" ht="30" customHeight="1" x14ac:dyDescent="0.25">
      <c r="A19" s="7" t="s">
        <v>20</v>
      </c>
      <c r="B19" s="7" t="s">
        <v>215</v>
      </c>
      <c r="C19" s="7" t="s">
        <v>198</v>
      </c>
      <c r="D19" s="7" t="s">
        <v>197</v>
      </c>
    </row>
    <row r="20" spans="1:11" x14ac:dyDescent="0.25">
      <c r="A20" s="11" t="str">
        <f>Lists!A5</f>
        <v>Ridgeline Safety Supply Ltd.</v>
      </c>
      <c r="B20" s="24">
        <f>COUNTIFS(AP_Register!$C$6:$C$33,A20,AP_Register!$AF$6:$AF$33,"&gt;0")</f>
        <v>2</v>
      </c>
      <c r="C20" s="25">
        <f>SUMIFS(AP_Register!$X$6:$X$33,AP_Register!$C$6:$C$33,A20,AP_Register!$AF$6:$AF$33,"&gt;0")</f>
        <v>7134.75</v>
      </c>
      <c r="D20" s="25">
        <f>SUMIFS(AP_Register!$X$6:$X$33,AP_Register!$C$6:$C$33,A20)</f>
        <v>7134.75</v>
      </c>
    </row>
    <row r="21" spans="1:11" x14ac:dyDescent="0.25">
      <c r="A21" s="11" t="str">
        <f>Lists!A6</f>
        <v>Bow Valley Office Products Ltd.</v>
      </c>
      <c r="B21" s="24">
        <f>COUNTIFS(AP_Register!$C$6:$C$33,A21,AP_Register!$AF$6:$AF$33,"&gt;0")</f>
        <v>0</v>
      </c>
      <c r="C21" s="25">
        <f>SUMIFS(AP_Register!$X$6:$X$33,AP_Register!$C$6:$C$33,A21,AP_Register!$AF$6:$AF$33,"&gt;0")</f>
        <v>0</v>
      </c>
      <c r="D21" s="25">
        <f>SUMIFS(AP_Register!$X$6:$X$33,AP_Register!$C$6:$C$33,A21)</f>
        <v>1554</v>
      </c>
    </row>
    <row r="22" spans="1:11" x14ac:dyDescent="0.25">
      <c r="A22" s="11" t="str">
        <f>Lists!A7</f>
        <v>Prairie Fuel &amp; Lube Inc.</v>
      </c>
      <c r="B22" s="24">
        <f>COUNTIFS(AP_Register!$C$6:$C$33,A22,AP_Register!$AF$6:$AF$33,"&gt;0")</f>
        <v>1</v>
      </c>
      <c r="C22" s="25">
        <f>SUMIFS(AP_Register!$X$6:$X$33,AP_Register!$C$6:$C$33,A22,AP_Register!$AF$6:$AF$33,"&gt;0")</f>
        <v>3276</v>
      </c>
      <c r="D22" s="25">
        <f>SUMIFS(AP_Register!$X$6:$X$33,AP_Register!$C$6:$C$33,A22)</f>
        <v>6405</v>
      </c>
    </row>
    <row r="23" spans="1:11" x14ac:dyDescent="0.25">
      <c r="A23" s="11" t="str">
        <f>Lists!A8</f>
        <v>Foothills Equipment Rentals Ltd.</v>
      </c>
      <c r="B23" s="24">
        <f>COUNTIFS(AP_Register!$C$6:$C$33,A23,AP_Register!$AF$6:$AF$33,"&gt;0")</f>
        <v>1</v>
      </c>
      <c r="C23" s="25">
        <f>SUMIFS(AP_Register!$X$6:$X$33,AP_Register!$C$6:$C$33,A23,AP_Register!$AF$6:$AF$33,"&gt;0")</f>
        <v>8820</v>
      </c>
      <c r="D23" s="25">
        <f>SUMIFS(AP_Register!$X$6:$X$33,AP_Register!$C$6:$C$33,A23)</f>
        <v>21840</v>
      </c>
    </row>
    <row r="24" spans="1:11" x14ac:dyDescent="0.25">
      <c r="A24" s="11" t="str">
        <f>Lists!A9</f>
        <v>Cinder Creek Fabrication Ltd.</v>
      </c>
      <c r="B24" s="24">
        <f>COUNTIFS(AP_Register!$C$6:$C$33,A24,AP_Register!$AF$6:$AF$33,"&gt;0")</f>
        <v>3</v>
      </c>
      <c r="C24" s="25">
        <f>SUMIFS(AP_Register!$X$6:$X$33,AP_Register!$C$6:$C$33,A24,AP_Register!$AF$6:$AF$33,"&gt;0")</f>
        <v>37117.5</v>
      </c>
      <c r="D24" s="25">
        <f>SUMIFS(AP_Register!$X$6:$X$33,AP_Register!$C$6:$C$33,A24)</f>
        <v>37117.5</v>
      </c>
    </row>
    <row r="25" spans="1:11" x14ac:dyDescent="0.25">
      <c r="A25" s="11" t="str">
        <f>Lists!A10</f>
        <v>Northgate IT Services Inc.</v>
      </c>
      <c r="B25" s="24">
        <f>COUNTIFS(AP_Register!$C$6:$C$33,A25,AP_Register!$AF$6:$AF$33,"&gt;0")</f>
        <v>1</v>
      </c>
      <c r="C25" s="25">
        <f>SUMIFS(AP_Register!$X$6:$X$33,AP_Register!$C$6:$C$33,A25,AP_Register!$AF$6:$AF$33,"&gt;0")</f>
        <v>691.25</v>
      </c>
      <c r="D25" s="25">
        <f>SUMIFS(AP_Register!$X$6:$X$33,AP_Register!$C$6:$C$33,A25)</f>
        <v>2082.5</v>
      </c>
    </row>
    <row r="26" spans="1:11" x14ac:dyDescent="0.25">
      <c r="A26" s="11" t="str">
        <f>Lists!A11</f>
        <v>Summit Courier &amp; Freight Ltd.</v>
      </c>
      <c r="B26" s="24">
        <f>COUNTIFS(AP_Register!$C$6:$C$33,A26,AP_Register!$AF$6:$AF$33,"&gt;0")</f>
        <v>2</v>
      </c>
      <c r="C26" s="25">
        <f>SUMIFS(AP_Register!$X$6:$X$33,AP_Register!$C$6:$C$33,A26,AP_Register!$AF$6:$AF$33,"&gt;0")</f>
        <v>1638.53</v>
      </c>
      <c r="D26" s="25">
        <f>SUMIFS(AP_Register!$X$6:$X$33,AP_Register!$C$6:$C$33,A26)</f>
        <v>1638.53</v>
      </c>
    </row>
    <row r="27" spans="1:11" x14ac:dyDescent="0.25">
      <c r="A27" s="11" t="str">
        <f>Lists!A12</f>
        <v>Clearwater Janitorial Ltd.</v>
      </c>
      <c r="B27" s="24">
        <f>COUNTIFS(AP_Register!$C$6:$C$33,A27,AP_Register!$AF$6:$AF$33,"&gt;0")</f>
        <v>1</v>
      </c>
      <c r="C27" s="25">
        <f>SUMIFS(AP_Register!$X$6:$X$33,AP_Register!$C$6:$C$33,A27,AP_Register!$AF$6:$AF$33,"&gt;0")</f>
        <v>1942.5</v>
      </c>
      <c r="D27" s="25">
        <f>SUMIFS(AP_Register!$X$6:$X$33,AP_Register!$C$6:$C$33,A27)</f>
        <v>1942.5</v>
      </c>
    </row>
    <row r="28" spans="1:11" x14ac:dyDescent="0.25">
      <c r="A28" s="11" t="str">
        <f>Lists!A13</f>
        <v>Pinnacle Mutual Insurance Co.</v>
      </c>
      <c r="B28" s="24">
        <f>COUNTIFS(AP_Register!$C$6:$C$33,A28,AP_Register!$AF$6:$AF$33,"&gt;0")</f>
        <v>0</v>
      </c>
      <c r="C28" s="25">
        <f>SUMIFS(AP_Register!$X$6:$X$33,AP_Register!$C$6:$C$33,A28,AP_Register!$AF$6:$AF$33,"&gt;0")</f>
        <v>0</v>
      </c>
      <c r="D28" s="25">
        <f>SUMIFS(AP_Register!$X$6:$X$33,AP_Register!$C$6:$C$33,A28)</f>
        <v>6200</v>
      </c>
    </row>
    <row r="29" spans="1:11" x14ac:dyDescent="0.25">
      <c r="A29" s="5" t="s">
        <v>212</v>
      </c>
      <c r="B29" s="19">
        <f>SUM(B20:B28)</f>
        <v>11</v>
      </c>
      <c r="C29" s="27">
        <f>SUM(C20:C28)</f>
        <v>60620.53</v>
      </c>
      <c r="D29" s="27">
        <f>SUM(D20:D28)</f>
        <v>85914.78</v>
      </c>
    </row>
    <row r="31" spans="1:11" x14ac:dyDescent="0.25">
      <c r="A31" s="5" t="s">
        <v>216</v>
      </c>
    </row>
    <row r="32" spans="1:11" ht="30" customHeight="1" x14ac:dyDescent="0.25">
      <c r="A32" s="7" t="s">
        <v>217</v>
      </c>
      <c r="B32" s="7" t="s">
        <v>18</v>
      </c>
      <c r="C32" s="7" t="s">
        <v>20</v>
      </c>
      <c r="D32" s="7" t="s">
        <v>218</v>
      </c>
      <c r="E32" s="7" t="s">
        <v>23</v>
      </c>
      <c r="F32" s="7" t="s">
        <v>49</v>
      </c>
      <c r="G32" s="7" t="s">
        <v>205</v>
      </c>
      <c r="H32" s="7" t="s">
        <v>219</v>
      </c>
      <c r="I32" s="7" t="s">
        <v>38</v>
      </c>
      <c r="J32" s="7" t="s">
        <v>220</v>
      </c>
      <c r="K32" s="7" t="s">
        <v>221</v>
      </c>
    </row>
    <row r="33" spans="1:11" x14ac:dyDescent="0.25">
      <c r="A33" s="16">
        <f>IF(K33="","",1)</f>
        <v>1</v>
      </c>
      <c r="B33" s="11" t="str">
        <f>IF($K33="","",INDEX(AP_Register!$A$6:$A$33,$K33))</f>
        <v>AP-0001</v>
      </c>
      <c r="C33" s="11" t="str">
        <f>IF($K33="","",INDEX(AP_Register!$C$6:$C$33,$K33))</f>
        <v>Cinder Creek Fabrication Ltd.</v>
      </c>
      <c r="D33" s="11" t="str">
        <f>IF($K33="","",INDEX(AP_Register!$B$6:$B$33,$K33))</f>
        <v>CCF-0871</v>
      </c>
      <c r="E33" s="29">
        <f>IF($K33="","",INDEX(AP_Register!$F$6:$F$33,$K33))</f>
        <v>46211</v>
      </c>
      <c r="F33" s="24">
        <f>IF($K33="","",INDEX(AP_Register!$AF$6:$AF$33,$K33))</f>
        <v>93</v>
      </c>
      <c r="G33" s="30">
        <f>IF($K33="","",INDEX(AP_Register!$X$6:$X$33,$K33))</f>
        <v>14962.5</v>
      </c>
      <c r="H33" s="11" t="str">
        <f>IF($K33="","",INDEX(AP_Register!$S$6:$S$33,$K33))</f>
        <v>On Hold</v>
      </c>
      <c r="I33" s="11" t="str">
        <f>IF($K33="","",INDEX(AP_Register!$U$6:$U$33,$K33))</f>
        <v>Unpaid</v>
      </c>
      <c r="J33" s="8" t="str">
        <f>IF($K33="","",IF(H33="On Hold","Resolve dispute with supplier",IF(H33="Pending","Chase approver",IF(H33="Rejected","Confirm with supplier",IF(INDEX(AP_Register!$AB$6:$AB$33,$K33)&lt;&gt;"","Obtain supporting docs, then pay",IF(INDEX(AP_Register!$AE$6:$AE$33,$K33)&gt;0,"Clear exceptions, then pay","Schedule payment in next run"))))))</f>
        <v>Resolve dispute with supplier</v>
      </c>
      <c r="K33" s="31">
        <f>IFERROR(MATCH(LARGE(AP_Register!$AG$6:$AG$33,1),AP_Register!$AG$6:$AG$33,0),"")</f>
        <v>1</v>
      </c>
    </row>
    <row r="34" spans="1:11" x14ac:dyDescent="0.25">
      <c r="A34" s="16">
        <f>IF(K34="","",2)</f>
        <v>2</v>
      </c>
      <c r="B34" s="11" t="str">
        <f>IF($K34="","",INDEX(AP_Register!$A$6:$A$33,$K34))</f>
        <v>AP-0006</v>
      </c>
      <c r="C34" s="11" t="str">
        <f>IF($K34="","",INDEX(AP_Register!$C$6:$C$33,$K34))</f>
        <v>Cinder Creek Fabrication Ltd.</v>
      </c>
      <c r="D34" s="11" t="str">
        <f>IF($K34="","",INDEX(AP_Register!$B$6:$B$33,$K34))</f>
        <v>CCF-0902</v>
      </c>
      <c r="E34" s="29">
        <f>IF($K34="","",INDEX(AP_Register!$F$6:$F$33,$K34))</f>
        <v>46243</v>
      </c>
      <c r="F34" s="24">
        <f>IF($K34="","",INDEX(AP_Register!$AF$6:$AF$33,$K34))</f>
        <v>61</v>
      </c>
      <c r="G34" s="30">
        <f>IF($K34="","",INDEX(AP_Register!$X$6:$X$33,$K34))</f>
        <v>10290</v>
      </c>
      <c r="H34" s="11" t="str">
        <f>IF($K34="","",INDEX(AP_Register!$S$6:$S$33,$K34))</f>
        <v>On Hold</v>
      </c>
      <c r="I34" s="11" t="str">
        <f>IF($K34="","",INDEX(AP_Register!$U$6:$U$33,$K34))</f>
        <v>Unpaid</v>
      </c>
      <c r="J34" s="8" t="str">
        <f>IF($K34="","",IF(H34="On Hold","Resolve dispute with supplier",IF(H34="Pending","Chase approver",IF(H34="Rejected","Confirm with supplier",IF(INDEX(AP_Register!$AB$6:$AB$33,$K34)&lt;&gt;"","Obtain supporting docs, then pay",IF(INDEX(AP_Register!$AE$6:$AE$33,$K34)&gt;0,"Clear exceptions, then pay","Schedule payment in next run"))))))</f>
        <v>Resolve dispute with supplier</v>
      </c>
      <c r="K34" s="31">
        <f>IFERROR(MATCH(LARGE(AP_Register!$AG$6:$AG$33,2),AP_Register!$AG$6:$AG$33,0),"")</f>
        <v>6</v>
      </c>
    </row>
    <row r="35" spans="1:11" x14ac:dyDescent="0.25">
      <c r="A35" s="16">
        <f>IF(K35="","",3)</f>
        <v>3</v>
      </c>
      <c r="B35" s="11" t="str">
        <f>IF($K35="","",INDEX(AP_Register!$A$6:$A$33,$K35))</f>
        <v>AP-0010</v>
      </c>
      <c r="C35" s="11" t="str">
        <f>IF($K35="","",INDEX(AP_Register!$C$6:$C$33,$K35))</f>
        <v>Summit Courier &amp; Freight Ltd.</v>
      </c>
      <c r="D35" s="11" t="str">
        <f>IF($K35="","",INDEX(AP_Register!$B$6:$B$33,$K35))</f>
        <v>SCF-1190</v>
      </c>
      <c r="E35" s="29">
        <f>IF($K35="","",INDEX(AP_Register!$F$6:$F$33,$K35))</f>
        <v>46247</v>
      </c>
      <c r="F35" s="24">
        <f>IF($K35="","",INDEX(AP_Register!$AF$6:$AF$33,$K35))</f>
        <v>57</v>
      </c>
      <c r="G35" s="30">
        <f>IF($K35="","",INDEX(AP_Register!$X$6:$X$33,$K35))</f>
        <v>674.63</v>
      </c>
      <c r="H35" s="11" t="str">
        <f>IF($K35="","",INDEX(AP_Register!$S$6:$S$33,$K35))</f>
        <v>Pending</v>
      </c>
      <c r="I35" s="11" t="str">
        <f>IF($K35="","",INDEX(AP_Register!$U$6:$U$33,$K35))</f>
        <v>Unpaid</v>
      </c>
      <c r="J35" s="8" t="str">
        <f>IF($K35="","",IF(H35="On Hold","Resolve dispute with supplier",IF(H35="Pending","Chase approver",IF(H35="Rejected","Confirm with supplier",IF(INDEX(AP_Register!$AB$6:$AB$33,$K35)&lt;&gt;"","Obtain supporting docs, then pay",IF(INDEX(AP_Register!$AE$6:$AE$33,$K35)&gt;0,"Clear exceptions, then pay","Schedule payment in next run"))))))</f>
        <v>Chase approver</v>
      </c>
      <c r="K35" s="31">
        <f>IFERROR(MATCH(LARGE(AP_Register!$AG$6:$AG$33,3),AP_Register!$AG$6:$AG$33,0),"")</f>
        <v>10</v>
      </c>
    </row>
    <row r="36" spans="1:11" x14ac:dyDescent="0.25">
      <c r="A36" s="16">
        <f>IF(K36="","",4)</f>
        <v>4</v>
      </c>
      <c r="B36" s="11" t="str">
        <f>IF($K36="","",INDEX(AP_Register!$A$6:$A$33,$K36))</f>
        <v>AP-0020</v>
      </c>
      <c r="C36" s="11" t="str">
        <f>IF($K36="","",INDEX(AP_Register!$C$6:$C$33,$K36))</f>
        <v>Ridgeline Safety Supply Ltd.</v>
      </c>
      <c r="D36" s="11" t="str">
        <f>IF($K36="","",INDEX(AP_Register!$B$6:$B$33,$K36))</f>
        <v>RSS-20431A</v>
      </c>
      <c r="E36" s="29">
        <f>IF($K36="","",INDEX(AP_Register!$F$6:$F$33,$K36))</f>
        <v>46261</v>
      </c>
      <c r="F36" s="24">
        <f>IF($K36="","",INDEX(AP_Register!$AF$6:$AF$33,$K36))</f>
        <v>43</v>
      </c>
      <c r="G36" s="30">
        <f>IF($K36="","",INDEX(AP_Register!$X$6:$X$33,$K36))</f>
        <v>2283.75</v>
      </c>
      <c r="H36" s="11" t="str">
        <f>IF($K36="","",INDEX(AP_Register!$S$6:$S$33,$K36))</f>
        <v>Pending</v>
      </c>
      <c r="I36" s="11" t="str">
        <f>IF($K36="","",INDEX(AP_Register!$U$6:$U$33,$K36))</f>
        <v>Unpaid</v>
      </c>
      <c r="J36" s="8" t="str">
        <f>IF($K36="","",IF(H36="On Hold","Resolve dispute with supplier",IF(H36="Pending","Chase approver",IF(H36="Rejected","Confirm with supplier",IF(INDEX(AP_Register!$AB$6:$AB$33,$K36)&lt;&gt;"","Obtain supporting docs, then pay",IF(INDEX(AP_Register!$AE$6:$AE$33,$K36)&gt;0,"Clear exceptions, then pay","Schedule payment in next run"))))))</f>
        <v>Chase approver</v>
      </c>
      <c r="K36" s="31">
        <f>IFERROR(MATCH(LARGE(AP_Register!$AG$6:$AG$33,4),AP_Register!$AG$6:$AG$33,0),"")</f>
        <v>20</v>
      </c>
    </row>
    <row r="37" spans="1:11" x14ac:dyDescent="0.25">
      <c r="A37" s="16">
        <f>IF(K37="","",5)</f>
        <v>5</v>
      </c>
      <c r="B37" s="11" t="str">
        <f>IF($K37="","",INDEX(AP_Register!$A$6:$A$33,$K37))</f>
        <v>AP-0011</v>
      </c>
      <c r="C37" s="11" t="str">
        <f>IF($K37="","",INDEX(AP_Register!$C$6:$C$33,$K37))</f>
        <v>Cinder Creek Fabrication Ltd.</v>
      </c>
      <c r="D37" s="11" t="str">
        <f>IF($K37="","",INDEX(AP_Register!$B$6:$B$33,$K37))</f>
        <v>CCF-0915</v>
      </c>
      <c r="E37" s="29">
        <f>IF($K37="","",INDEX(AP_Register!$F$6:$F$33,$K37))</f>
        <v>46261</v>
      </c>
      <c r="F37" s="24">
        <f>IF($K37="","",INDEX(AP_Register!$AF$6:$AF$33,$K37))</f>
        <v>43</v>
      </c>
      <c r="G37" s="30">
        <f>IF($K37="","",INDEX(AP_Register!$X$6:$X$33,$K37))</f>
        <v>11865</v>
      </c>
      <c r="H37" s="11" t="str">
        <f>IF($K37="","",INDEX(AP_Register!$S$6:$S$33,$K37))</f>
        <v>Approved</v>
      </c>
      <c r="I37" s="11" t="str">
        <f>IF($K37="","",INDEX(AP_Register!$U$6:$U$33,$K37))</f>
        <v>Unpaid</v>
      </c>
      <c r="J37" s="8" t="str">
        <f>IF($K37="","",IF(H37="On Hold","Resolve dispute with supplier",IF(H37="Pending","Chase approver",IF(H37="Rejected","Confirm with supplier",IF(INDEX(AP_Register!$AB$6:$AB$33,$K37)&lt;&gt;"","Obtain supporting docs, then pay",IF(INDEX(AP_Register!$AE$6:$AE$33,$K37)&gt;0,"Clear exceptions, then pay","Schedule payment in next run"))))))</f>
        <v>Obtain supporting docs, then pay</v>
      </c>
      <c r="K37" s="31">
        <f>IFERROR(MATCH(LARGE(AP_Register!$AG$6:$AG$33,5),AP_Register!$AG$6:$AG$33,0),"")</f>
        <v>11</v>
      </c>
    </row>
    <row r="38" spans="1:11" x14ac:dyDescent="0.25">
      <c r="A38" s="16">
        <f>IF(K38="","",6)</f>
        <v>6</v>
      </c>
      <c r="B38" s="11" t="str">
        <f>IF($K38="","",INDEX(AP_Register!$A$6:$A$33,$K38))</f>
        <v>AP-0005</v>
      </c>
      <c r="C38" s="11" t="str">
        <f>IF($K38="","",INDEX(AP_Register!$C$6:$C$33,$K38))</f>
        <v>Foothills Equipment Rentals Ltd.</v>
      </c>
      <c r="D38" s="11" t="str">
        <f>IF($K38="","",INDEX(AP_Register!$B$6:$B$33,$K38))</f>
        <v>FER-3307</v>
      </c>
      <c r="E38" s="29">
        <f>IF($K38="","",INDEX(AP_Register!$F$6:$F$33,$K38))</f>
        <v>46268</v>
      </c>
      <c r="F38" s="24">
        <f>IF($K38="","",INDEX(AP_Register!$AF$6:$AF$33,$K38))</f>
        <v>36</v>
      </c>
      <c r="G38" s="30">
        <f>IF($K38="","",INDEX(AP_Register!$X$6:$X$33,$K38))</f>
        <v>8820</v>
      </c>
      <c r="H38" s="11" t="str">
        <f>IF($K38="","",INDEX(AP_Register!$S$6:$S$33,$K38))</f>
        <v>Approved</v>
      </c>
      <c r="I38" s="11" t="str">
        <f>IF($K38="","",INDEX(AP_Register!$U$6:$U$33,$K38))</f>
        <v>Unpaid</v>
      </c>
      <c r="J38" s="8" t="str">
        <f>IF($K38="","",IF(H38="On Hold","Resolve dispute with supplier",IF(H38="Pending","Chase approver",IF(H38="Rejected","Confirm with supplier",IF(INDEX(AP_Register!$AB$6:$AB$33,$K38)&lt;&gt;"","Obtain supporting docs, then pay",IF(INDEX(AP_Register!$AE$6:$AE$33,$K38)&gt;0,"Clear exceptions, then pay","Schedule payment in next run"))))))</f>
        <v>Schedule payment in next run</v>
      </c>
      <c r="K38" s="31">
        <f>IFERROR(MATCH(LARGE(AP_Register!$AG$6:$AG$33,6),AP_Register!$AG$6:$AG$33,0),"")</f>
        <v>5</v>
      </c>
    </row>
    <row r="39" spans="1:11" x14ac:dyDescent="0.25">
      <c r="A39" s="16">
        <f>IF(K39="","",7)</f>
        <v>7</v>
      </c>
      <c r="B39" s="11" t="str">
        <f>IF($K39="","",INDEX(AP_Register!$A$6:$A$33,$K39))</f>
        <v>AP-0012</v>
      </c>
      <c r="C39" s="11" t="str">
        <f>IF($K39="","",INDEX(AP_Register!$C$6:$C$33,$K39))</f>
        <v>Clearwater Janitorial Ltd.</v>
      </c>
      <c r="D39" s="11" t="str">
        <f>IF($K39="","",INDEX(AP_Register!$B$6:$B$33,$K39))</f>
        <v>CJ-3402</v>
      </c>
      <c r="E39" s="29">
        <f>IF($K39="","",INDEX(AP_Register!$F$6:$F$33,$K39))</f>
        <v>46269</v>
      </c>
      <c r="F39" s="24">
        <f>IF($K39="","",INDEX(AP_Register!$AF$6:$AF$33,$K39))</f>
        <v>35</v>
      </c>
      <c r="G39" s="30">
        <f>IF($K39="","",INDEX(AP_Register!$X$6:$X$33,$K39))</f>
        <v>1942.5</v>
      </c>
      <c r="H39" s="11" t="str">
        <f>IF($K39="","",INDEX(AP_Register!$S$6:$S$33,$K39))</f>
        <v>Pending</v>
      </c>
      <c r="I39" s="11" t="str">
        <f>IF($K39="","",INDEX(AP_Register!$U$6:$U$33,$K39))</f>
        <v>Unpaid</v>
      </c>
      <c r="J39" s="8" t="str">
        <f>IF($K39="","",IF(H39="On Hold","Resolve dispute with supplier",IF(H39="Pending","Chase approver",IF(H39="Rejected","Confirm with supplier",IF(INDEX(AP_Register!$AB$6:$AB$33,$K39)&lt;&gt;"","Obtain supporting docs, then pay",IF(INDEX(AP_Register!$AE$6:$AE$33,$K39)&gt;0,"Clear exceptions, then pay","Schedule payment in next run"))))))</f>
        <v>Chase approver</v>
      </c>
      <c r="K39" s="31">
        <f>IFERROR(MATCH(LARGE(AP_Register!$AG$6:$AG$33,7),AP_Register!$AG$6:$AG$33,0),"")</f>
        <v>12</v>
      </c>
    </row>
    <row r="40" spans="1:11" x14ac:dyDescent="0.25">
      <c r="A40" s="16">
        <f>IF(K40="","",8)</f>
        <v>8</v>
      </c>
      <c r="B40" s="11" t="str">
        <f>IF($K40="","",INDEX(AP_Register!$A$6:$A$33,$K40))</f>
        <v>AP-0014</v>
      </c>
      <c r="C40" s="11" t="str">
        <f>IF($K40="","",INDEX(AP_Register!$C$6:$C$33,$K40))</f>
        <v>Ridgeline Safety Supply Ltd.</v>
      </c>
      <c r="D40" s="11" t="str">
        <f>IF($K40="","",INDEX(AP_Register!$B$6:$B$33,$K40))</f>
        <v>RSS-20466</v>
      </c>
      <c r="E40" s="29">
        <f>IF($K40="","",INDEX(AP_Register!$F$6:$F$33,$K40))</f>
        <v>46278</v>
      </c>
      <c r="F40" s="24">
        <f>IF($K40="","",INDEX(AP_Register!$AF$6:$AF$33,$K40))</f>
        <v>26</v>
      </c>
      <c r="G40" s="30">
        <f>IF($K40="","",INDEX(AP_Register!$X$6:$X$33,$K40))</f>
        <v>4851</v>
      </c>
      <c r="H40" s="11" t="str">
        <f>IF($K40="","",INDEX(AP_Register!$S$6:$S$33,$K40))</f>
        <v>Approved</v>
      </c>
      <c r="I40" s="11" t="str">
        <f>IF($K40="","",INDEX(AP_Register!$U$6:$U$33,$K40))</f>
        <v>Unpaid</v>
      </c>
      <c r="J40" s="8" t="str">
        <f>IF($K40="","",IF(H40="On Hold","Resolve dispute with supplier",IF(H40="Pending","Chase approver",IF(H40="Rejected","Confirm with supplier",IF(INDEX(AP_Register!$AB$6:$AB$33,$K40)&lt;&gt;"","Obtain supporting docs, then pay",IF(INDEX(AP_Register!$AE$6:$AE$33,$K40)&gt;0,"Clear exceptions, then pay","Schedule payment in next run"))))))</f>
        <v>Schedule payment in next run</v>
      </c>
      <c r="K40" s="31">
        <f>IFERROR(MATCH(LARGE(AP_Register!$AG$6:$AG$33,8),AP_Register!$AG$6:$AG$33,0),"")</f>
        <v>14</v>
      </c>
    </row>
    <row r="41" spans="1:11" x14ac:dyDescent="0.25">
      <c r="A41" s="16">
        <f>IF(K41="","",9)</f>
        <v>9</v>
      </c>
      <c r="B41" s="11" t="str">
        <f>IF($K41="","",INDEX(AP_Register!$A$6:$A$33,$K41))</f>
        <v>AP-0024</v>
      </c>
      <c r="C41" s="11" t="str">
        <f>IF($K41="","",INDEX(AP_Register!$C$6:$C$33,$K41))</f>
        <v>Prairie Fuel &amp; Lube Inc.</v>
      </c>
      <c r="D41" s="11" t="str">
        <f>IF($K41="","",INDEX(AP_Register!$B$6:$B$33,$K41))</f>
        <v>PF-88391</v>
      </c>
      <c r="E41" s="29">
        <f>IF($K41="","",INDEX(AP_Register!$F$6:$F$33,$K41))</f>
        <v>46282</v>
      </c>
      <c r="F41" s="24">
        <f>IF($K41="","",INDEX(AP_Register!$AF$6:$AF$33,$K41))</f>
        <v>22</v>
      </c>
      <c r="G41" s="30">
        <f>IF($K41="","",INDEX(AP_Register!$X$6:$X$33,$K41))</f>
        <v>3276</v>
      </c>
      <c r="H41" s="11" t="str">
        <f>IF($K41="","",INDEX(AP_Register!$S$6:$S$33,$K41))</f>
        <v>Approved</v>
      </c>
      <c r="I41" s="11" t="str">
        <f>IF($K41="","",INDEX(AP_Register!$U$6:$U$33,$K41))</f>
        <v>Unpaid</v>
      </c>
      <c r="J41" s="8" t="str">
        <f>IF($K41="","",IF(H41="On Hold","Resolve dispute with supplier",IF(H41="Pending","Chase approver",IF(H41="Rejected","Confirm with supplier",IF(INDEX(AP_Register!$AB$6:$AB$33,$K41)&lt;&gt;"","Obtain supporting docs, then pay",IF(INDEX(AP_Register!$AE$6:$AE$33,$K41)&gt;0,"Clear exceptions, then pay","Schedule payment in next run"))))))</f>
        <v>Obtain supporting docs, then pay</v>
      </c>
      <c r="K41" s="31">
        <f>IFERROR(MATCH(LARGE(AP_Register!$AG$6:$AG$33,9),AP_Register!$AG$6:$AG$33,0),"")</f>
        <v>24</v>
      </c>
    </row>
    <row r="42" spans="1:11" x14ac:dyDescent="0.25">
      <c r="A42" s="16">
        <f>IF(K42="","",10)</f>
        <v>10</v>
      </c>
      <c r="B42" s="11" t="str">
        <f>IF($K42="","",INDEX(AP_Register!$A$6:$A$33,$K42))</f>
        <v>AP-0019</v>
      </c>
      <c r="C42" s="11" t="str">
        <f>IF($K42="","",INDEX(AP_Register!$C$6:$C$33,$K42))</f>
        <v>Northgate IT Services Inc.</v>
      </c>
      <c r="D42" s="11" t="str">
        <f>IF($K42="","",INDEX(AP_Register!$B$6:$B$33,$K42))</f>
        <v>NG-7752</v>
      </c>
      <c r="E42" s="29">
        <f>IF($K42="","",INDEX(AP_Register!$F$6:$F$33,$K42))</f>
        <v>46284</v>
      </c>
      <c r="F42" s="24">
        <f>IF($K42="","",INDEX(AP_Register!$AF$6:$AF$33,$K42))</f>
        <v>20</v>
      </c>
      <c r="G42" s="30">
        <f>IF($K42="","",INDEX(AP_Register!$X$6:$X$33,$K42))</f>
        <v>691.25</v>
      </c>
      <c r="H42" s="11" t="str">
        <f>IF($K42="","",INDEX(AP_Register!$S$6:$S$33,$K42))</f>
        <v>Approved</v>
      </c>
      <c r="I42" s="11" t="str">
        <f>IF($K42="","",INDEX(AP_Register!$U$6:$U$33,$K42))</f>
        <v>Partially Paid</v>
      </c>
      <c r="J42" s="8" t="str">
        <f>IF($K42="","",IF(H42="On Hold","Resolve dispute with supplier",IF(H42="Pending","Chase approver",IF(H42="Rejected","Confirm with supplier",IF(INDEX(AP_Register!$AB$6:$AB$33,$K42)&lt;&gt;"","Obtain supporting docs, then pay",IF(INDEX(AP_Register!$AE$6:$AE$33,$K42)&gt;0,"Clear exceptions, then pay","Schedule payment in next run"))))))</f>
        <v>Schedule payment in next run</v>
      </c>
      <c r="K42" s="31">
        <f>IFERROR(MATCH(LARGE(AP_Register!$AG$6:$AG$33,10),AP_Register!$AG$6:$AG$33,0),"")</f>
        <v>19</v>
      </c>
    </row>
    <row r="43" spans="1:11" x14ac:dyDescent="0.25">
      <c r="A43" s="16">
        <f>IF(K43="","",11)</f>
        <v>11</v>
      </c>
      <c r="B43" s="11" t="str">
        <f>IF($K43="","",INDEX(AP_Register!$A$6:$A$33,$K43))</f>
        <v>AP-0021</v>
      </c>
      <c r="C43" s="11" t="str">
        <f>IF($K43="","",INDEX(AP_Register!$C$6:$C$33,$K43))</f>
        <v>Summit Courier &amp; Freight Ltd.</v>
      </c>
      <c r="D43" s="11" t="str">
        <f>IF($K43="","",INDEX(AP_Register!$B$6:$B$33,$K43))</f>
        <v>SCF-1241</v>
      </c>
      <c r="E43" s="29">
        <f>IF($K43="","",INDEX(AP_Register!$F$6:$F$33,$K43))</f>
        <v>46290</v>
      </c>
      <c r="F43" s="24">
        <f>IF($K43="","",INDEX(AP_Register!$AF$6:$AF$33,$K43))</f>
        <v>14</v>
      </c>
      <c r="G43" s="30">
        <f>IF($K43="","",INDEX(AP_Register!$X$6:$X$33,$K43))</f>
        <v>963.9</v>
      </c>
      <c r="H43" s="11" t="str">
        <f>IF($K43="","",INDEX(AP_Register!$S$6:$S$33,$K43))</f>
        <v>Approved</v>
      </c>
      <c r="I43" s="11" t="str">
        <f>IF($K43="","",INDEX(AP_Register!$U$6:$U$33,$K43))</f>
        <v>Unpaid</v>
      </c>
      <c r="J43" s="8" t="str">
        <f>IF($K43="","",IF(H43="On Hold","Resolve dispute with supplier",IF(H43="Pending","Chase approver",IF(H43="Rejected","Confirm with supplier",IF(INDEX(AP_Register!$AB$6:$AB$33,$K43)&lt;&gt;"","Obtain supporting docs, then pay",IF(INDEX(AP_Register!$AE$6:$AE$33,$K43)&gt;0,"Clear exceptions, then pay","Schedule payment in next run"))))))</f>
        <v>Schedule payment in next run</v>
      </c>
      <c r="K43" s="31">
        <f>IFERROR(MATCH(LARGE(AP_Register!$AG$6:$AG$33,11),AP_Register!$AG$6:$AG$33,0),"")</f>
        <v>21</v>
      </c>
    </row>
    <row r="44" spans="1:11" x14ac:dyDescent="0.25">
      <c r="A44" s="16" t="str">
        <f>IF(K44="","",12)</f>
        <v/>
      </c>
      <c r="B44" s="11" t="str">
        <f>IF($K44="","",INDEX(AP_Register!$A$6:$A$33,$K44))</f>
        <v/>
      </c>
      <c r="C44" s="11" t="str">
        <f>IF($K44="","",INDEX(AP_Register!$C$6:$C$33,$K44))</f>
        <v/>
      </c>
      <c r="D44" s="11" t="str">
        <f>IF($K44="","",INDEX(AP_Register!$B$6:$B$33,$K44))</f>
        <v/>
      </c>
      <c r="E44" s="29" t="str">
        <f>IF($K44="","",INDEX(AP_Register!$F$6:$F$33,$K44))</f>
        <v/>
      </c>
      <c r="F44" s="24" t="str">
        <f>IF($K44="","",INDEX(AP_Register!$AF$6:$AF$33,$K44))</f>
        <v/>
      </c>
      <c r="G44" s="30" t="str">
        <f>IF($K44="","",INDEX(AP_Register!$X$6:$X$33,$K44))</f>
        <v/>
      </c>
      <c r="H44" s="11" t="str">
        <f>IF($K44="","",INDEX(AP_Register!$S$6:$S$33,$K44))</f>
        <v/>
      </c>
      <c r="I44" s="11" t="str">
        <f>IF($K44="","",INDEX(AP_Register!$U$6:$U$33,$K44))</f>
        <v/>
      </c>
      <c r="J44" s="8" t="str">
        <f>IF($K44="","",IF(H44="On Hold","Resolve dispute with supplier",IF(H44="Pending","Chase approver",IF(H44="Rejected","Confirm with supplier",IF(INDEX(AP_Register!$AB$6:$AB$33,$K44)&lt;&gt;"","Obtain supporting docs, then pay",IF(INDEX(AP_Register!$AE$6:$AE$33,$K44)&gt;0,"Clear exceptions, then pay","Schedule payment in next run"))))))</f>
        <v/>
      </c>
      <c r="K44" s="31" t="str">
        <f>IFERROR(MATCH(LARGE(AP_Register!$AG$6:$AG$33,12),AP_Register!$AG$6:$AG$33,0),"")</f>
        <v/>
      </c>
    </row>
  </sheetData>
  <mergeCells count="1">
    <mergeCell ref="A1:J1"/>
  </mergeCells>
  <conditionalFormatting sqref="F33:F44">
    <cfRule type="cellIs" dxfId="2" priority="2" operator="greaterThan">
      <formula>60</formula>
    </cfRule>
    <cfRule type="cellIs" dxfId="1" priority="3" operator="between">
      <formula>1</formula>
      <formula>60</formula>
    </cfRule>
  </conditionalFormatting>
  <printOptions horizontalCentered="1"/>
  <pageMargins left="0.4" right="0.4" top="0.5" bottom="0.5" header="0.511811023622047" footer="0.511811023622047"/>
  <pageSetup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17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L14" sqref="L14"/>
    </sheetView>
  </sheetViews>
  <sheetFormatPr defaultColWidth="8.7109375" defaultRowHeight="15" x14ac:dyDescent="0.25"/>
  <cols>
    <col min="1" max="1" width="9" customWidth="1"/>
    <col min="2" max="2" width="10" customWidth="1"/>
    <col min="3" max="4" width="11" customWidth="1"/>
    <col min="5" max="5" width="19" customWidth="1"/>
    <col min="6" max="6" width="28" customWidth="1"/>
    <col min="7" max="7" width="12" customWidth="1"/>
    <col min="8" max="8" width="11" customWidth="1"/>
    <col min="9" max="9" width="10" customWidth="1"/>
    <col min="10" max="10" width="8" customWidth="1"/>
    <col min="11" max="11" width="12" customWidth="1"/>
    <col min="12" max="12" width="10" customWidth="1"/>
    <col min="13" max="13" width="12" customWidth="1"/>
    <col min="14" max="14" width="11" customWidth="1"/>
    <col min="15" max="15" width="12" customWidth="1"/>
    <col min="16" max="16" width="38" customWidth="1"/>
  </cols>
  <sheetData>
    <row r="1" spans="1:16" ht="30" customHeight="1" x14ac:dyDescent="0.25">
      <c r="A1" s="37" t="s">
        <v>222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</row>
    <row r="2" spans="1:16" ht="18" x14ac:dyDescent="0.25">
      <c r="A2" s="1" t="s">
        <v>223</v>
      </c>
    </row>
    <row r="4" spans="1:16" ht="43.5" customHeight="1" x14ac:dyDescent="0.25">
      <c r="A4" s="7" t="s">
        <v>224</v>
      </c>
      <c r="B4" s="7" t="s">
        <v>225</v>
      </c>
      <c r="C4" s="7" t="s">
        <v>226</v>
      </c>
      <c r="D4" s="7" t="s">
        <v>227</v>
      </c>
      <c r="E4" s="7" t="s">
        <v>228</v>
      </c>
      <c r="F4" s="7" t="s">
        <v>25</v>
      </c>
      <c r="G4" s="7" t="s">
        <v>229</v>
      </c>
      <c r="H4" s="7" t="s">
        <v>230</v>
      </c>
      <c r="I4" s="7" t="s">
        <v>231</v>
      </c>
      <c r="J4" s="7" t="s">
        <v>232</v>
      </c>
      <c r="K4" s="7" t="s">
        <v>233</v>
      </c>
      <c r="L4" s="7" t="s">
        <v>234</v>
      </c>
      <c r="M4" s="7" t="s">
        <v>235</v>
      </c>
      <c r="N4" s="7" t="s">
        <v>36</v>
      </c>
      <c r="O4" s="7" t="s">
        <v>236</v>
      </c>
      <c r="P4" s="7" t="s">
        <v>237</v>
      </c>
    </row>
    <row r="5" spans="1:16" x14ac:dyDescent="0.25">
      <c r="A5" s="8" t="s">
        <v>238</v>
      </c>
      <c r="B5" s="9" t="s">
        <v>239</v>
      </c>
      <c r="C5" s="10">
        <v>46267</v>
      </c>
      <c r="D5" s="10">
        <v>46273</v>
      </c>
      <c r="E5" s="9" t="s">
        <v>240</v>
      </c>
      <c r="F5" s="9" t="s">
        <v>241</v>
      </c>
      <c r="G5" s="13">
        <v>48.2</v>
      </c>
      <c r="H5" s="9" t="s">
        <v>59</v>
      </c>
      <c r="I5" s="32">
        <f>INDEX(Lists!$B$18:$B$23,MATCH(E5,Lists!$A$18:$A$23,0))</f>
        <v>60</v>
      </c>
      <c r="J5" s="8" t="str">
        <f t="shared" ref="J5:J16" si="0">IF(G5&gt;I5,"OVER","")</f>
        <v/>
      </c>
      <c r="K5" s="8" t="str">
        <f t="shared" ref="K5:K16" si="1">IF(H5&lt;&gt;"Y","NO RECEIPT","")</f>
        <v/>
      </c>
      <c r="L5" s="8" t="str">
        <f>IF(D5-C5&gt;Lists!$B$25,"LATE","")</f>
        <v/>
      </c>
      <c r="M5" s="8" t="str">
        <f>IF(COUNTIFS($B$5:B5,B5,$C$5:C5,C5,$G$5:G5,G5,$E$5:E5,E5)&gt;1,"DUPLICATE","")</f>
        <v/>
      </c>
      <c r="N5" s="9" t="s">
        <v>69</v>
      </c>
      <c r="O5" s="15">
        <f t="shared" ref="O5:O16" si="2">IF(AND(N5="Approved",J5="",K5="",L5="",M5=""),G5,0)</f>
        <v>48.2</v>
      </c>
      <c r="P5" s="8" t="str">
        <f t="shared" ref="P5:P16" si="3">IF(N5="Rejected","Closed: rejected",IF(M5&lt;&gt;"","Reject: duplicate claim",IF(K5&lt;&gt;"","Hold: request receipt",IF(J5&lt;&gt;"","Hold: over limit, needs manager approval",IF(L5&lt;&gt;"","Hold: late, needs manager approval",IF(N5&lt;&gt;"Approved","Awaiting approval","Pay in next run"))))))</f>
        <v>Pay in next run</v>
      </c>
    </row>
    <row r="6" spans="1:16" x14ac:dyDescent="0.25">
      <c r="A6" s="8" t="s">
        <v>242</v>
      </c>
      <c r="B6" s="9" t="s">
        <v>239</v>
      </c>
      <c r="C6" s="10">
        <v>46268</v>
      </c>
      <c r="D6" s="10">
        <v>46273</v>
      </c>
      <c r="E6" s="9" t="s">
        <v>243</v>
      </c>
      <c r="F6" s="9" t="s">
        <v>244</v>
      </c>
      <c r="G6" s="13">
        <v>32</v>
      </c>
      <c r="H6" s="9" t="s">
        <v>59</v>
      </c>
      <c r="I6" s="32">
        <f>INDEX(Lists!$B$18:$B$23,MATCH(E6,Lists!$A$18:$A$23,0))</f>
        <v>40</v>
      </c>
      <c r="J6" s="8" t="str">
        <f t="shared" si="0"/>
        <v/>
      </c>
      <c r="K6" s="8" t="str">
        <f t="shared" si="1"/>
        <v/>
      </c>
      <c r="L6" s="8" t="str">
        <f>IF(D6-C6&gt;Lists!$B$25,"LATE","")</f>
        <v/>
      </c>
      <c r="M6" s="8" t="str">
        <f>IF(COUNTIFS($B$5:B6,B6,$C$5:C6,C6,$G$5:G6,G6,$E$5:E6,E6)&gt;1,"DUPLICATE","")</f>
        <v/>
      </c>
      <c r="N6" s="9" t="s">
        <v>69</v>
      </c>
      <c r="O6" s="15">
        <f t="shared" si="2"/>
        <v>32</v>
      </c>
      <c r="P6" s="8" t="str">
        <f t="shared" si="3"/>
        <v>Pay in next run</v>
      </c>
    </row>
    <row r="7" spans="1:16" x14ac:dyDescent="0.25">
      <c r="A7" s="8" t="s">
        <v>245</v>
      </c>
      <c r="B7" s="9" t="s">
        <v>246</v>
      </c>
      <c r="C7" s="10">
        <v>46269</v>
      </c>
      <c r="D7" s="10">
        <v>46274</v>
      </c>
      <c r="E7" s="9" t="s">
        <v>247</v>
      </c>
      <c r="F7" s="9" t="s">
        <v>248</v>
      </c>
      <c r="G7" s="13">
        <v>245</v>
      </c>
      <c r="H7" s="9" t="s">
        <v>59</v>
      </c>
      <c r="I7" s="32">
        <f>INDEX(Lists!$B$18:$B$23,MATCH(E7,Lists!$A$18:$A$23,0))</f>
        <v>220</v>
      </c>
      <c r="J7" s="8" t="str">
        <f t="shared" si="0"/>
        <v>OVER</v>
      </c>
      <c r="K7" s="8" t="str">
        <f t="shared" si="1"/>
        <v/>
      </c>
      <c r="L7" s="8" t="str">
        <f>IF(D7-C7&gt;Lists!$B$25,"LATE","")</f>
        <v/>
      </c>
      <c r="M7" s="8" t="str">
        <f>IF(COUNTIFS($B$5:B7,B7,$C$5:C7,C7,$G$5:G7,G7,$E$5:E7,E7)&gt;1,"DUPLICATE","")</f>
        <v/>
      </c>
      <c r="N7" s="9" t="s">
        <v>114</v>
      </c>
      <c r="O7" s="15">
        <f t="shared" si="2"/>
        <v>0</v>
      </c>
      <c r="P7" s="8" t="str">
        <f t="shared" si="3"/>
        <v>Hold: over limit, needs manager approval</v>
      </c>
    </row>
    <row r="8" spans="1:16" x14ac:dyDescent="0.25">
      <c r="A8" s="8" t="s">
        <v>249</v>
      </c>
      <c r="B8" s="9" t="s">
        <v>246</v>
      </c>
      <c r="C8" s="10">
        <v>46270</v>
      </c>
      <c r="D8" s="10">
        <v>46274</v>
      </c>
      <c r="E8" s="9" t="s">
        <v>240</v>
      </c>
      <c r="F8" s="9" t="s">
        <v>250</v>
      </c>
      <c r="G8" s="13">
        <v>71.849999999999994</v>
      </c>
      <c r="H8" s="9" t="s">
        <v>59</v>
      </c>
      <c r="I8" s="32">
        <f>INDEX(Lists!$B$18:$B$23,MATCH(E8,Lists!$A$18:$A$23,0))</f>
        <v>60</v>
      </c>
      <c r="J8" s="8" t="str">
        <f t="shared" si="0"/>
        <v>OVER</v>
      </c>
      <c r="K8" s="8" t="str">
        <f t="shared" si="1"/>
        <v/>
      </c>
      <c r="L8" s="8" t="str">
        <f>IF(D8-C8&gt;Lists!$B$25,"LATE","")</f>
        <v/>
      </c>
      <c r="M8" s="8" t="str">
        <f>IF(COUNTIFS($B$5:B8,B8,$C$5:C8,C8,$G$5:G8,G8,$E$5:E8,E8)&gt;1,"DUPLICATE","")</f>
        <v/>
      </c>
      <c r="N8" s="9" t="s">
        <v>114</v>
      </c>
      <c r="O8" s="15">
        <f t="shared" si="2"/>
        <v>0</v>
      </c>
      <c r="P8" s="8" t="str">
        <f t="shared" si="3"/>
        <v>Hold: over limit, needs manager approval</v>
      </c>
    </row>
    <row r="9" spans="1:16" x14ac:dyDescent="0.25">
      <c r="A9" s="8" t="s">
        <v>251</v>
      </c>
      <c r="B9" s="9" t="s">
        <v>252</v>
      </c>
      <c r="C9" s="10">
        <v>46244</v>
      </c>
      <c r="D9" s="10">
        <v>46279</v>
      </c>
      <c r="E9" s="9" t="s">
        <v>253</v>
      </c>
      <c r="F9" s="9" t="s">
        <v>254</v>
      </c>
      <c r="G9" s="13">
        <v>96.4</v>
      </c>
      <c r="H9" s="9" t="s">
        <v>59</v>
      </c>
      <c r="I9" s="32">
        <f>INDEX(Lists!$B$18:$B$23,MATCH(E9,Lists!$A$18:$A$23,0))</f>
        <v>150</v>
      </c>
      <c r="J9" s="8" t="str">
        <f t="shared" si="0"/>
        <v/>
      </c>
      <c r="K9" s="8" t="str">
        <f t="shared" si="1"/>
        <v/>
      </c>
      <c r="L9" s="8" t="str">
        <f>IF(D9-C9&gt;Lists!$B$25,"LATE","")</f>
        <v>LATE</v>
      </c>
      <c r="M9" s="8" t="str">
        <f>IF(COUNTIFS($B$5:B9,B9,$C$5:C9,C9,$G$5:G9,G9,$E$5:E9,E9)&gt;1,"DUPLICATE","")</f>
        <v/>
      </c>
      <c r="N9" s="9" t="s">
        <v>114</v>
      </c>
      <c r="O9" s="15">
        <f t="shared" si="2"/>
        <v>0</v>
      </c>
      <c r="P9" s="8" t="str">
        <f t="shared" si="3"/>
        <v>Hold: late, needs manager approval</v>
      </c>
    </row>
    <row r="10" spans="1:16" x14ac:dyDescent="0.25">
      <c r="A10" s="8" t="s">
        <v>255</v>
      </c>
      <c r="B10" s="9" t="s">
        <v>252</v>
      </c>
      <c r="C10" s="10">
        <v>46275</v>
      </c>
      <c r="D10" s="10">
        <v>46279</v>
      </c>
      <c r="E10" s="9" t="s">
        <v>256</v>
      </c>
      <c r="F10" s="9" t="s">
        <v>257</v>
      </c>
      <c r="G10" s="13">
        <v>54.3</v>
      </c>
      <c r="H10" s="9" t="s">
        <v>120</v>
      </c>
      <c r="I10" s="32">
        <f>INDEX(Lists!$B$18:$B$23,MATCH(E10,Lists!$A$18:$A$23,0))</f>
        <v>80</v>
      </c>
      <c r="J10" s="8" t="str">
        <f t="shared" si="0"/>
        <v/>
      </c>
      <c r="K10" s="8" t="str">
        <f t="shared" si="1"/>
        <v>NO RECEIPT</v>
      </c>
      <c r="L10" s="8" t="str">
        <f>IF(D10-C10&gt;Lists!$B$25,"LATE","")</f>
        <v/>
      </c>
      <c r="M10" s="8" t="str">
        <f>IF(COUNTIFS($B$5:B10,B10,$C$5:C10,C10,$G$5:G10,G10,$E$5:E10,E10)&gt;1,"DUPLICATE","")</f>
        <v/>
      </c>
      <c r="N10" s="9" t="s">
        <v>114</v>
      </c>
      <c r="O10" s="15">
        <f t="shared" si="2"/>
        <v>0</v>
      </c>
      <c r="P10" s="8" t="str">
        <f t="shared" si="3"/>
        <v>Hold: request receipt</v>
      </c>
    </row>
    <row r="11" spans="1:16" x14ac:dyDescent="0.25">
      <c r="A11" s="8" t="s">
        <v>258</v>
      </c>
      <c r="B11" s="9" t="s">
        <v>259</v>
      </c>
      <c r="C11" s="10">
        <v>46276</v>
      </c>
      <c r="D11" s="10">
        <v>46280</v>
      </c>
      <c r="E11" s="9" t="s">
        <v>260</v>
      </c>
      <c r="F11" s="9" t="s">
        <v>261</v>
      </c>
      <c r="G11" s="13">
        <v>182</v>
      </c>
      <c r="H11" s="9" t="s">
        <v>59</v>
      </c>
      <c r="I11" s="32">
        <f>INDEX(Lists!$B$18:$B$23,MATCH(E11,Lists!$A$18:$A$23,0))</f>
        <v>200</v>
      </c>
      <c r="J11" s="8" t="str">
        <f t="shared" si="0"/>
        <v/>
      </c>
      <c r="K11" s="8" t="str">
        <f t="shared" si="1"/>
        <v/>
      </c>
      <c r="L11" s="8" t="str">
        <f>IF(D11-C11&gt;Lists!$B$25,"LATE","")</f>
        <v/>
      </c>
      <c r="M11" s="8" t="str">
        <f>IF(COUNTIFS($B$5:B11,B11,$C$5:C11,C11,$G$5:G11,G11,$E$5:E11,E11)&gt;1,"DUPLICATE","")</f>
        <v/>
      </c>
      <c r="N11" s="9" t="s">
        <v>69</v>
      </c>
      <c r="O11" s="15">
        <f t="shared" si="2"/>
        <v>182</v>
      </c>
      <c r="P11" s="8" t="str">
        <f t="shared" si="3"/>
        <v>Pay in next run</v>
      </c>
    </row>
    <row r="12" spans="1:16" x14ac:dyDescent="0.25">
      <c r="A12" s="8" t="s">
        <v>262</v>
      </c>
      <c r="B12" s="9" t="s">
        <v>259</v>
      </c>
      <c r="C12" s="10">
        <v>46276</v>
      </c>
      <c r="D12" s="10">
        <v>46280</v>
      </c>
      <c r="E12" s="9" t="s">
        <v>260</v>
      </c>
      <c r="F12" s="9" t="s">
        <v>261</v>
      </c>
      <c r="G12" s="13">
        <v>182</v>
      </c>
      <c r="H12" s="9" t="s">
        <v>59</v>
      </c>
      <c r="I12" s="32">
        <f>INDEX(Lists!$B$18:$B$23,MATCH(E12,Lists!$A$18:$A$23,0))</f>
        <v>200</v>
      </c>
      <c r="J12" s="8" t="str">
        <f t="shared" si="0"/>
        <v/>
      </c>
      <c r="K12" s="8" t="str">
        <f t="shared" si="1"/>
        <v/>
      </c>
      <c r="L12" s="8" t="str">
        <f>IF(D12-C12&gt;Lists!$B$25,"LATE","")</f>
        <v/>
      </c>
      <c r="M12" s="8" t="str">
        <f>IF(COUNTIFS($B$5:B12,B12,$C$5:C12,C12,$G$5:G12,G12,$E$5:E12,E12)&gt;1,"DUPLICATE","")</f>
        <v>DUPLICATE</v>
      </c>
      <c r="N12" s="9" t="s">
        <v>114</v>
      </c>
      <c r="O12" s="15">
        <f t="shared" si="2"/>
        <v>0</v>
      </c>
      <c r="P12" s="8" t="str">
        <f t="shared" si="3"/>
        <v>Reject: duplicate claim</v>
      </c>
    </row>
    <row r="13" spans="1:16" x14ac:dyDescent="0.25">
      <c r="A13" s="8" t="s">
        <v>263</v>
      </c>
      <c r="B13" s="9" t="s">
        <v>264</v>
      </c>
      <c r="C13" s="10">
        <v>46279</v>
      </c>
      <c r="D13" s="10">
        <v>46281</v>
      </c>
      <c r="E13" s="9" t="s">
        <v>240</v>
      </c>
      <c r="F13" s="9" t="s">
        <v>265</v>
      </c>
      <c r="G13" s="13">
        <v>38.75</v>
      </c>
      <c r="H13" s="9" t="s">
        <v>59</v>
      </c>
      <c r="I13" s="32">
        <f>INDEX(Lists!$B$18:$B$23,MATCH(E13,Lists!$A$18:$A$23,0))</f>
        <v>60</v>
      </c>
      <c r="J13" s="8" t="str">
        <f t="shared" si="0"/>
        <v/>
      </c>
      <c r="K13" s="8" t="str">
        <f t="shared" si="1"/>
        <v/>
      </c>
      <c r="L13" s="8" t="str">
        <f>IF(D13-C13&gt;Lists!$B$25,"LATE","")</f>
        <v/>
      </c>
      <c r="M13" s="8" t="str">
        <f>IF(COUNTIFS($B$5:B13,B13,$C$5:C13,C13,$G$5:G13,G13,$E$5:E13,E13)&gt;1,"DUPLICATE","")</f>
        <v/>
      </c>
      <c r="N13" s="9" t="s">
        <v>69</v>
      </c>
      <c r="O13" s="15">
        <f t="shared" si="2"/>
        <v>38.75</v>
      </c>
      <c r="P13" s="8" t="str">
        <f t="shared" si="3"/>
        <v>Pay in next run</v>
      </c>
    </row>
    <row r="14" spans="1:16" x14ac:dyDescent="0.25">
      <c r="A14" s="8" t="s">
        <v>266</v>
      </c>
      <c r="B14" s="9" t="s">
        <v>264</v>
      </c>
      <c r="C14" s="10">
        <v>46280</v>
      </c>
      <c r="D14" s="10">
        <v>46287</v>
      </c>
      <c r="E14" s="9" t="s">
        <v>243</v>
      </c>
      <c r="F14" s="9" t="s">
        <v>267</v>
      </c>
      <c r="G14" s="13">
        <v>36</v>
      </c>
      <c r="H14" s="9" t="s">
        <v>59</v>
      </c>
      <c r="I14" s="32">
        <f>INDEX(Lists!$B$18:$B$23,MATCH(E14,Lists!$A$18:$A$23,0))</f>
        <v>40</v>
      </c>
      <c r="J14" s="8" t="str">
        <f t="shared" si="0"/>
        <v/>
      </c>
      <c r="K14" s="8" t="str">
        <f t="shared" si="1"/>
        <v/>
      </c>
      <c r="L14" s="8" t="str">
        <f>IF(D14-C14&gt;Lists!$B$25,"LATE","")</f>
        <v/>
      </c>
      <c r="M14" s="8" t="str">
        <f>IF(COUNTIFS($B$5:B14,B14,$C$5:C14,C14,$G$5:G14,G14,$E$5:E14,E14)&gt;1,"DUPLICATE","")</f>
        <v/>
      </c>
      <c r="N14" s="9" t="s">
        <v>69</v>
      </c>
      <c r="O14" s="15">
        <f t="shared" si="2"/>
        <v>36</v>
      </c>
      <c r="P14" s="8" t="str">
        <f t="shared" si="3"/>
        <v>Pay in next run</v>
      </c>
    </row>
    <row r="15" spans="1:16" x14ac:dyDescent="0.25">
      <c r="A15" s="8" t="s">
        <v>268</v>
      </c>
      <c r="B15" s="9" t="s">
        <v>269</v>
      </c>
      <c r="C15" s="10">
        <v>46281</v>
      </c>
      <c r="D15" s="10">
        <v>46288</v>
      </c>
      <c r="E15" s="9" t="s">
        <v>253</v>
      </c>
      <c r="F15" s="9" t="s">
        <v>270</v>
      </c>
      <c r="G15" s="13">
        <v>64.099999999999994</v>
      </c>
      <c r="H15" s="9" t="s">
        <v>59</v>
      </c>
      <c r="I15" s="32">
        <f>INDEX(Lists!$B$18:$B$23,MATCH(E15,Lists!$A$18:$A$23,0))</f>
        <v>150</v>
      </c>
      <c r="J15" s="8" t="str">
        <f t="shared" si="0"/>
        <v/>
      </c>
      <c r="K15" s="8" t="str">
        <f t="shared" si="1"/>
        <v/>
      </c>
      <c r="L15" s="8" t="str">
        <f>IF(D15-C15&gt;Lists!$B$25,"LATE","")</f>
        <v/>
      </c>
      <c r="M15" s="8" t="str">
        <f>IF(COUNTIFS($B$5:B15,B15,$C$5:C15,C15,$G$5:G15,G15,$E$5:E15,E15)&gt;1,"DUPLICATE","")</f>
        <v/>
      </c>
      <c r="N15" s="9" t="s">
        <v>131</v>
      </c>
      <c r="O15" s="15">
        <f t="shared" si="2"/>
        <v>0</v>
      </c>
      <c r="P15" s="8" t="str">
        <f t="shared" si="3"/>
        <v>Closed: rejected</v>
      </c>
    </row>
    <row r="16" spans="1:16" x14ac:dyDescent="0.25">
      <c r="A16" s="8" t="s">
        <v>271</v>
      </c>
      <c r="B16" s="9" t="s">
        <v>269</v>
      </c>
      <c r="C16" s="10">
        <v>46282</v>
      </c>
      <c r="D16" s="10">
        <v>46288</v>
      </c>
      <c r="E16" s="9" t="s">
        <v>256</v>
      </c>
      <c r="F16" s="9" t="s">
        <v>272</v>
      </c>
      <c r="G16" s="13">
        <v>41.5</v>
      </c>
      <c r="H16" s="9" t="s">
        <v>59</v>
      </c>
      <c r="I16" s="32">
        <f>INDEX(Lists!$B$18:$B$23,MATCH(E16,Lists!$A$18:$A$23,0))</f>
        <v>80</v>
      </c>
      <c r="J16" s="8" t="str">
        <f t="shared" si="0"/>
        <v/>
      </c>
      <c r="K16" s="8" t="str">
        <f t="shared" si="1"/>
        <v/>
      </c>
      <c r="L16" s="8" t="str">
        <f>IF(D16-C16&gt;Lists!$B$25,"LATE","")</f>
        <v/>
      </c>
      <c r="M16" s="8" t="str">
        <f>IF(COUNTIFS($B$5:B16,B16,$C$5:C16,C16,$G$5:G16,G16,$E$5:E16,E16)&gt;1,"DUPLICATE","")</f>
        <v/>
      </c>
      <c r="N16" s="9" t="s">
        <v>69</v>
      </c>
      <c r="O16" s="15">
        <f t="shared" si="2"/>
        <v>41.5</v>
      </c>
      <c r="P16" s="8" t="str">
        <f t="shared" si="3"/>
        <v>Pay in next run</v>
      </c>
    </row>
    <row r="17" spans="1:15" x14ac:dyDescent="0.25">
      <c r="A17" s="5" t="s">
        <v>194</v>
      </c>
      <c r="G17" s="18">
        <f>SUM(G5:G16)</f>
        <v>1092.0999999999999</v>
      </c>
      <c r="O17" s="18">
        <f>SUM(O5:O16)</f>
        <v>378.45</v>
      </c>
    </row>
  </sheetData>
  <mergeCells count="1">
    <mergeCell ref="A1:P1"/>
  </mergeCells>
  <conditionalFormatting sqref="J5:M16">
    <cfRule type="expression" dxfId="0" priority="2">
      <formula>LEN(J5)&gt;0</formula>
    </cfRule>
  </conditionalFormatting>
  <dataValidations count="1">
    <dataValidation type="list" allowBlank="1" showErrorMessage="1" errorTitle="Invalid entry" error="Y or N." sqref="H5:H16" xr:uid="{00000000-0002-0000-0300-000001000000}">
      <formula1>"Y,N"</formula1>
      <formula2>0</formula2>
    </dataValidation>
  </dataValidations>
  <printOptions horizontalCentered="1"/>
  <pageMargins left="0.4" right="0.4" top="0.5" bottom="0.5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Invalid entry" error="Pick a category." xr:uid="{00000000-0002-0000-0300-000000000000}">
          <x14:formula1>
            <xm:f>Lists!$A$18:$A$23</xm:f>
          </x14:formula1>
          <x14:formula2>
            <xm:f>0</xm:f>
          </x14:formula2>
          <xm:sqref>E5:E16</xm:sqref>
        </x14:dataValidation>
        <x14:dataValidation type="list" allowBlank="1" showErrorMessage="1" errorTitle="Invalid entry" error="Pick a status." xr:uid="{00000000-0002-0000-0300-000002000000}">
          <x14:formula1>
            <xm:f>Lists!$K$5:$K$8</xm:f>
          </x14:formula1>
          <x14:formula2>
            <xm:f>0</xm:f>
          </x14:formula2>
          <xm:sqref>N5:N16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19"/>
  <sheetViews>
    <sheetView zoomScaleNormal="100" workbookViewId="0">
      <selection activeCell="C13" sqref="C13"/>
    </sheetView>
  </sheetViews>
  <sheetFormatPr defaultColWidth="8.7109375" defaultRowHeight="15" x14ac:dyDescent="0.25"/>
  <cols>
    <col min="1" max="1" width="26" customWidth="1"/>
    <col min="2" max="2" width="44" customWidth="1"/>
    <col min="3" max="3" width="48" customWidth="1"/>
    <col min="4" max="5" width="14" customWidth="1"/>
    <col min="6" max="6" width="18" customWidth="1"/>
  </cols>
  <sheetData>
    <row r="1" spans="1:6" ht="30" customHeight="1" x14ac:dyDescent="0.25">
      <c r="A1" s="37" t="s">
        <v>0</v>
      </c>
      <c r="B1" s="37"/>
      <c r="C1" s="37"/>
      <c r="D1" s="37"/>
      <c r="E1" s="37"/>
      <c r="F1" s="37"/>
    </row>
    <row r="2" spans="1:6" ht="18" x14ac:dyDescent="0.25">
      <c r="A2" s="1" t="s">
        <v>273</v>
      </c>
    </row>
    <row r="3" spans="1:6" x14ac:dyDescent="0.25">
      <c r="A3" s="2" t="s">
        <v>274</v>
      </c>
    </row>
    <row r="5" spans="1:6" ht="31.5" customHeight="1" x14ac:dyDescent="0.25">
      <c r="A5" s="7" t="s">
        <v>275</v>
      </c>
      <c r="B5" s="7" t="s">
        <v>276</v>
      </c>
      <c r="C5" s="7" t="s">
        <v>277</v>
      </c>
      <c r="D5" s="7" t="s">
        <v>278</v>
      </c>
      <c r="E5" s="7" t="s">
        <v>279</v>
      </c>
      <c r="F5" s="7" t="s">
        <v>280</v>
      </c>
    </row>
    <row r="6" spans="1:6" ht="43.5" customHeight="1" x14ac:dyDescent="0.25">
      <c r="A6" s="3" t="s">
        <v>42</v>
      </c>
      <c r="B6" s="4" t="s">
        <v>281</v>
      </c>
      <c r="C6" s="4" t="s">
        <v>282</v>
      </c>
      <c r="D6" s="24">
        <f>SUMPRODUCT(--(LEN(AP_Register!$Y$6:$Y$33)&gt;0))</f>
        <v>1</v>
      </c>
      <c r="E6" s="33">
        <v>1</v>
      </c>
      <c r="F6" s="8" t="str">
        <f t="shared" ref="F6:F11" si="0">IF(D6=E6,"Matches expected","Review")</f>
        <v>Matches expected</v>
      </c>
    </row>
    <row r="7" spans="1:6" ht="43.5" customHeight="1" x14ac:dyDescent="0.25">
      <c r="A7" s="3" t="s">
        <v>43</v>
      </c>
      <c r="B7" s="4" t="s">
        <v>283</v>
      </c>
      <c r="C7" s="4" t="s">
        <v>284</v>
      </c>
      <c r="D7" s="24">
        <f>SUMPRODUCT(--(LEN(AP_Register!$Z$6:$Z$33)&gt;0))</f>
        <v>1</v>
      </c>
      <c r="E7" s="33">
        <v>1</v>
      </c>
      <c r="F7" s="8" t="str">
        <f t="shared" si="0"/>
        <v>Matches expected</v>
      </c>
    </row>
    <row r="8" spans="1:6" ht="43.5" customHeight="1" x14ac:dyDescent="0.25">
      <c r="A8" s="3" t="s">
        <v>44</v>
      </c>
      <c r="B8" s="4" t="s">
        <v>285</v>
      </c>
      <c r="C8" s="4" t="s">
        <v>286</v>
      </c>
      <c r="D8" s="24">
        <f>SUMPRODUCT(--(LEN(AP_Register!$AA$6:$AA$33)&gt;0))</f>
        <v>2</v>
      </c>
      <c r="E8" s="33">
        <v>2</v>
      </c>
      <c r="F8" s="8" t="str">
        <f t="shared" si="0"/>
        <v>Matches expected</v>
      </c>
    </row>
    <row r="9" spans="1:6" ht="43.5" customHeight="1" x14ac:dyDescent="0.25">
      <c r="A9" s="3" t="s">
        <v>287</v>
      </c>
      <c r="B9" s="4" t="s">
        <v>288</v>
      </c>
      <c r="C9" s="4" t="s">
        <v>289</v>
      </c>
      <c r="D9" s="24">
        <f>SUMPRODUCT(--(LEN(AP_Register!$AB$6:$AB$33)&gt;0))</f>
        <v>2</v>
      </c>
      <c r="E9" s="33">
        <v>2</v>
      </c>
      <c r="F9" s="8" t="str">
        <f t="shared" si="0"/>
        <v>Matches expected</v>
      </c>
    </row>
    <row r="10" spans="1:6" ht="43.5" customHeight="1" x14ac:dyDescent="0.25">
      <c r="A10" s="3" t="s">
        <v>46</v>
      </c>
      <c r="B10" s="4" t="s">
        <v>290</v>
      </c>
      <c r="C10" s="4" t="s">
        <v>291</v>
      </c>
      <c r="D10" s="24">
        <f>SUMPRODUCT(--(LEN(AP_Register!$AC$6:$AC$33)&gt;0))</f>
        <v>1</v>
      </c>
      <c r="E10" s="33">
        <v>1</v>
      </c>
      <c r="F10" s="8" t="str">
        <f t="shared" si="0"/>
        <v>Matches expected</v>
      </c>
    </row>
    <row r="11" spans="1:6" ht="43.5" customHeight="1" x14ac:dyDescent="0.25">
      <c r="A11" s="3" t="s">
        <v>47</v>
      </c>
      <c r="B11" s="4" t="s">
        <v>292</v>
      </c>
      <c r="C11" s="4" t="s">
        <v>293</v>
      </c>
      <c r="D11" s="24">
        <f>SUMPRODUCT(--(LEN(AP_Register!$AD$6:$AD$33)&gt;0))</f>
        <v>1</v>
      </c>
      <c r="E11" s="33">
        <v>1</v>
      </c>
      <c r="F11" s="8" t="str">
        <f t="shared" si="0"/>
        <v>Matches expected</v>
      </c>
    </row>
    <row r="12" spans="1:6" x14ac:dyDescent="0.25">
      <c r="A12" s="5" t="s">
        <v>294</v>
      </c>
      <c r="D12" s="34">
        <f>COUNTIF(AP_Register!$AE$6:$AE$33,"&gt;0")</f>
        <v>8</v>
      </c>
    </row>
    <row r="13" spans="1:6" x14ac:dyDescent="0.25">
      <c r="A13" s="5" t="s">
        <v>295</v>
      </c>
      <c r="D13" s="34">
        <f>COUNTA(AP_Register!$A$6:$A$33)</f>
        <v>28</v>
      </c>
    </row>
    <row r="15" spans="1:6" ht="13.5" customHeight="1" x14ac:dyDescent="0.25">
      <c r="A15" s="39" t="s">
        <v>296</v>
      </c>
      <c r="B15" s="39"/>
      <c r="C15" s="39"/>
      <c r="D15" s="39"/>
      <c r="E15" s="39"/>
      <c r="F15" s="39"/>
    </row>
    <row r="16" spans="1:6" ht="27.75" customHeight="1" x14ac:dyDescent="0.25">
      <c r="A16" s="38" t="s">
        <v>297</v>
      </c>
      <c r="B16" s="38"/>
      <c r="C16" s="38"/>
      <c r="D16" s="38"/>
      <c r="E16" s="38"/>
      <c r="F16" s="38"/>
    </row>
    <row r="17" spans="1:6" ht="42" customHeight="1" x14ac:dyDescent="0.25">
      <c r="A17" s="38" t="s">
        <v>298</v>
      </c>
      <c r="B17" s="38"/>
      <c r="C17" s="38"/>
      <c r="D17" s="38"/>
      <c r="E17" s="38"/>
      <c r="F17" s="38"/>
    </row>
    <row r="18" spans="1:6" ht="27.75" customHeight="1" x14ac:dyDescent="0.25">
      <c r="A18" s="38" t="s">
        <v>299</v>
      </c>
      <c r="B18" s="38"/>
      <c r="C18" s="38"/>
      <c r="D18" s="38"/>
      <c r="E18" s="38"/>
      <c r="F18" s="38"/>
    </row>
    <row r="19" spans="1:6" ht="13.5" customHeight="1" x14ac:dyDescent="0.25">
      <c r="A19" s="38" t="s">
        <v>300</v>
      </c>
      <c r="B19" s="38"/>
      <c r="C19" s="38"/>
      <c r="D19" s="38"/>
      <c r="E19" s="38"/>
      <c r="F19" s="38"/>
    </row>
  </sheetData>
  <mergeCells count="6">
    <mergeCell ref="A19:F19"/>
    <mergeCell ref="A1:F1"/>
    <mergeCell ref="A15:F15"/>
    <mergeCell ref="A16:F16"/>
    <mergeCell ref="A17:F17"/>
    <mergeCell ref="A18:F18"/>
  </mergeCells>
  <printOptions horizontalCentered="1"/>
  <pageMargins left="0.4" right="0.4" top="0.5" bottom="0.5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15"/>
  <sheetViews>
    <sheetView zoomScaleNormal="100" workbookViewId="0">
      <selection activeCell="B20" sqref="B20"/>
    </sheetView>
  </sheetViews>
  <sheetFormatPr defaultColWidth="8.7109375" defaultRowHeight="15" x14ac:dyDescent="0.25"/>
  <cols>
    <col min="1" max="1" width="28" customWidth="1"/>
    <col min="2" max="2" width="110" customWidth="1"/>
  </cols>
  <sheetData>
    <row r="1" spans="1:2" ht="30" customHeight="1" x14ac:dyDescent="0.25">
      <c r="A1" s="37" t="s">
        <v>0</v>
      </c>
      <c r="B1" s="37"/>
    </row>
    <row r="2" spans="1:2" ht="18" x14ac:dyDescent="0.25">
      <c r="A2" s="1" t="s">
        <v>301</v>
      </c>
    </row>
    <row r="4" spans="1:2" ht="24" customHeight="1" x14ac:dyDescent="0.25">
      <c r="A4" s="7" t="s">
        <v>302</v>
      </c>
      <c r="B4" s="7" t="s">
        <v>303</v>
      </c>
    </row>
    <row r="5" spans="1:2" ht="43.5" customHeight="1" x14ac:dyDescent="0.25">
      <c r="A5" s="3" t="s">
        <v>304</v>
      </c>
      <c r="B5" s="4" t="s">
        <v>305</v>
      </c>
    </row>
    <row r="6" spans="1:2" ht="43.5" customHeight="1" x14ac:dyDescent="0.25">
      <c r="A6" s="3" t="s">
        <v>306</v>
      </c>
      <c r="B6" s="4" t="s">
        <v>307</v>
      </c>
    </row>
    <row r="7" spans="1:2" ht="43.5" customHeight="1" x14ac:dyDescent="0.25">
      <c r="A7" s="3" t="s">
        <v>308</v>
      </c>
      <c r="B7" s="4" t="s">
        <v>309</v>
      </c>
    </row>
    <row r="8" spans="1:2" ht="43.5" customHeight="1" x14ac:dyDescent="0.25">
      <c r="A8" s="3" t="s">
        <v>310</v>
      </c>
      <c r="B8" s="4" t="s">
        <v>311</v>
      </c>
    </row>
    <row r="9" spans="1:2" ht="43.5" customHeight="1" x14ac:dyDescent="0.25">
      <c r="A9" s="3" t="s">
        <v>312</v>
      </c>
      <c r="B9" s="4" t="s">
        <v>313</v>
      </c>
    </row>
    <row r="10" spans="1:2" ht="43.5" customHeight="1" x14ac:dyDescent="0.25">
      <c r="A10" s="3" t="s">
        <v>314</v>
      </c>
      <c r="B10" s="4" t="s">
        <v>315</v>
      </c>
    </row>
    <row r="11" spans="1:2" ht="43.5" customHeight="1" x14ac:dyDescent="0.25">
      <c r="A11" s="3" t="s">
        <v>316</v>
      </c>
      <c r="B11" s="4" t="s">
        <v>317</v>
      </c>
    </row>
    <row r="12" spans="1:2" ht="43.5" customHeight="1" x14ac:dyDescent="0.25">
      <c r="A12" s="3" t="s">
        <v>318</v>
      </c>
      <c r="B12" s="4" t="s">
        <v>319</v>
      </c>
    </row>
    <row r="13" spans="1:2" ht="43.5" customHeight="1" x14ac:dyDescent="0.25">
      <c r="A13" s="3" t="s">
        <v>320</v>
      </c>
      <c r="B13" s="4" t="s">
        <v>321</v>
      </c>
    </row>
    <row r="14" spans="1:2" ht="43.5" customHeight="1" x14ac:dyDescent="0.25">
      <c r="A14" s="3" t="s">
        <v>322</v>
      </c>
      <c r="B14" s="4" t="s">
        <v>323</v>
      </c>
    </row>
    <row r="15" spans="1:2" ht="43.5" customHeight="1" x14ac:dyDescent="0.25">
      <c r="A15" s="3" t="s">
        <v>332</v>
      </c>
      <c r="B15" s="4" t="s">
        <v>324</v>
      </c>
    </row>
  </sheetData>
  <mergeCells count="1">
    <mergeCell ref="A1:B1"/>
  </mergeCells>
  <printOptions horizontalCentered="1"/>
  <pageMargins left="0.4" right="0.4" top="0.5" bottom="0.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25"/>
  <sheetViews>
    <sheetView zoomScaleNormal="100" workbookViewId="0">
      <selection activeCell="B20" sqref="B20"/>
    </sheetView>
  </sheetViews>
  <sheetFormatPr defaultColWidth="8.7109375" defaultRowHeight="15" x14ac:dyDescent="0.25"/>
  <cols>
    <col min="1" max="1" width="34" customWidth="1"/>
    <col min="2" max="2" width="14" customWidth="1"/>
    <col min="3" max="3" width="3" customWidth="1"/>
    <col min="4" max="4" width="26" customWidth="1"/>
    <col min="5" max="5" width="10" customWidth="1"/>
    <col min="6" max="6" width="16" customWidth="1"/>
    <col min="7" max="7" width="3" customWidth="1"/>
    <col min="8" max="8" width="12" customWidth="1"/>
    <col min="9" max="9" width="9" customWidth="1"/>
    <col min="10" max="10" width="3" customWidth="1"/>
    <col min="11" max="11" width="16" customWidth="1"/>
    <col min="12" max="12" width="3" customWidth="1"/>
    <col min="13" max="13" width="16" customWidth="1"/>
  </cols>
  <sheetData>
    <row r="1" spans="1:13" ht="30" customHeight="1" x14ac:dyDescent="0.2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3" ht="18" x14ac:dyDescent="0.25">
      <c r="A2" s="1" t="s">
        <v>325</v>
      </c>
    </row>
    <row r="4" spans="1:13" ht="31.5" customHeight="1" x14ac:dyDescent="0.25">
      <c r="A4" s="7" t="s">
        <v>20</v>
      </c>
      <c r="B4" s="7" t="s">
        <v>22</v>
      </c>
      <c r="D4" s="7" t="s">
        <v>228</v>
      </c>
      <c r="E4" s="7" t="s">
        <v>27</v>
      </c>
      <c r="F4" s="7" t="s">
        <v>28</v>
      </c>
      <c r="H4" s="7" t="s">
        <v>31</v>
      </c>
      <c r="I4" s="7" t="s">
        <v>326</v>
      </c>
      <c r="K4" s="7" t="s">
        <v>36</v>
      </c>
      <c r="M4" s="7" t="s">
        <v>38</v>
      </c>
    </row>
    <row r="5" spans="1:13" x14ac:dyDescent="0.25">
      <c r="A5" s="9" t="s">
        <v>65</v>
      </c>
      <c r="B5" s="9">
        <v>30</v>
      </c>
      <c r="D5" s="9" t="s">
        <v>119</v>
      </c>
      <c r="E5" s="9">
        <v>5100</v>
      </c>
      <c r="F5" s="9" t="s">
        <v>59</v>
      </c>
      <c r="H5" s="9" t="s">
        <v>58</v>
      </c>
      <c r="I5" s="35">
        <v>0.05</v>
      </c>
      <c r="K5" s="9" t="s">
        <v>69</v>
      </c>
      <c r="M5" s="9" t="s">
        <v>62</v>
      </c>
    </row>
    <row r="6" spans="1:13" x14ac:dyDescent="0.25">
      <c r="A6" s="9" t="s">
        <v>74</v>
      </c>
      <c r="B6" s="9">
        <v>30</v>
      </c>
      <c r="D6" s="9" t="s">
        <v>56</v>
      </c>
      <c r="E6" s="9">
        <v>5200</v>
      </c>
      <c r="F6" s="9" t="s">
        <v>59</v>
      </c>
      <c r="H6" s="9" t="s">
        <v>155</v>
      </c>
      <c r="I6" s="35">
        <v>0</v>
      </c>
      <c r="K6" s="9" t="s">
        <v>114</v>
      </c>
      <c r="M6" s="9" t="s">
        <v>171</v>
      </c>
    </row>
    <row r="7" spans="1:13" x14ac:dyDescent="0.25">
      <c r="A7" s="9" t="s">
        <v>80</v>
      </c>
      <c r="B7" s="9">
        <v>15</v>
      </c>
      <c r="D7" s="9" t="s">
        <v>91</v>
      </c>
      <c r="E7" s="9">
        <v>5300</v>
      </c>
      <c r="F7" s="9" t="s">
        <v>59</v>
      </c>
      <c r="K7" s="9" t="s">
        <v>60</v>
      </c>
      <c r="M7" s="9" t="s">
        <v>160</v>
      </c>
    </row>
    <row r="8" spans="1:13" x14ac:dyDescent="0.25">
      <c r="A8" s="9" t="s">
        <v>88</v>
      </c>
      <c r="B8" s="9">
        <v>45</v>
      </c>
      <c r="D8" s="9" t="s">
        <v>83</v>
      </c>
      <c r="E8" s="9">
        <v>5400</v>
      </c>
      <c r="F8" s="9" t="s">
        <v>59</v>
      </c>
      <c r="K8" s="9" t="s">
        <v>131</v>
      </c>
      <c r="M8" s="9" t="s">
        <v>71</v>
      </c>
    </row>
    <row r="9" spans="1:13" x14ac:dyDescent="0.25">
      <c r="A9" s="9" t="s">
        <v>53</v>
      </c>
      <c r="B9" s="9">
        <v>30</v>
      </c>
      <c r="D9" s="9" t="s">
        <v>68</v>
      </c>
      <c r="E9" s="9">
        <v>6100</v>
      </c>
      <c r="F9" s="9" t="s">
        <v>120</v>
      </c>
    </row>
    <row r="10" spans="1:13" x14ac:dyDescent="0.25">
      <c r="A10" s="9" t="s">
        <v>127</v>
      </c>
      <c r="B10" s="9">
        <v>30</v>
      </c>
      <c r="D10" s="9" t="s">
        <v>77</v>
      </c>
      <c r="E10" s="9">
        <v>6200</v>
      </c>
      <c r="F10" s="9" t="s">
        <v>120</v>
      </c>
    </row>
    <row r="11" spans="1:13" x14ac:dyDescent="0.25">
      <c r="A11" s="9" t="s">
        <v>99</v>
      </c>
      <c r="B11" s="9">
        <v>15</v>
      </c>
      <c r="D11" s="9" t="s">
        <v>130</v>
      </c>
      <c r="E11" s="9">
        <v>6300</v>
      </c>
      <c r="F11" s="9" t="s">
        <v>120</v>
      </c>
    </row>
    <row r="12" spans="1:13" x14ac:dyDescent="0.25">
      <c r="A12" s="9" t="s">
        <v>109</v>
      </c>
      <c r="B12" s="9">
        <v>30</v>
      </c>
      <c r="D12" s="9" t="s">
        <v>102</v>
      </c>
      <c r="E12" s="9">
        <v>6400</v>
      </c>
      <c r="F12" s="9" t="s">
        <v>120</v>
      </c>
    </row>
    <row r="13" spans="1:13" x14ac:dyDescent="0.25">
      <c r="A13" s="9" t="s">
        <v>151</v>
      </c>
      <c r="B13" s="9">
        <v>30</v>
      </c>
      <c r="D13" s="9" t="s">
        <v>112</v>
      </c>
      <c r="E13" s="9">
        <v>6500</v>
      </c>
      <c r="F13" s="9" t="s">
        <v>120</v>
      </c>
    </row>
    <row r="14" spans="1:13" x14ac:dyDescent="0.25">
      <c r="D14" s="9" t="s">
        <v>154</v>
      </c>
      <c r="E14" s="9">
        <v>6600</v>
      </c>
      <c r="F14" s="9" t="s">
        <v>120</v>
      </c>
    </row>
    <row r="16" spans="1:13" x14ac:dyDescent="0.25">
      <c r="A16" s="5" t="s">
        <v>327</v>
      </c>
    </row>
    <row r="17" spans="1:2" ht="31.5" customHeight="1" x14ac:dyDescent="0.25">
      <c r="A17" s="7" t="s">
        <v>328</v>
      </c>
      <c r="B17" s="7" t="s">
        <v>329</v>
      </c>
    </row>
    <row r="18" spans="1:2" x14ac:dyDescent="0.25">
      <c r="A18" s="9" t="s">
        <v>240</v>
      </c>
      <c r="B18" s="36">
        <v>60</v>
      </c>
    </row>
    <row r="19" spans="1:2" x14ac:dyDescent="0.25">
      <c r="A19" s="9" t="s">
        <v>247</v>
      </c>
      <c r="B19" s="36">
        <v>220</v>
      </c>
    </row>
    <row r="20" spans="1:2" x14ac:dyDescent="0.25">
      <c r="A20" s="9" t="s">
        <v>243</v>
      </c>
      <c r="B20" s="36">
        <v>40</v>
      </c>
    </row>
    <row r="21" spans="1:2" x14ac:dyDescent="0.25">
      <c r="A21" s="9" t="s">
        <v>256</v>
      </c>
      <c r="B21" s="36">
        <v>80</v>
      </c>
    </row>
    <row r="22" spans="1:2" x14ac:dyDescent="0.25">
      <c r="A22" s="9" t="s">
        <v>253</v>
      </c>
      <c r="B22" s="36">
        <v>150</v>
      </c>
    </row>
    <row r="23" spans="1:2" x14ac:dyDescent="0.25">
      <c r="A23" s="9" t="s">
        <v>260</v>
      </c>
      <c r="B23" s="36">
        <v>200</v>
      </c>
    </row>
    <row r="25" spans="1:2" x14ac:dyDescent="0.25">
      <c r="A25" s="5" t="s">
        <v>330</v>
      </c>
      <c r="B25" s="9">
        <v>30</v>
      </c>
    </row>
  </sheetData>
  <mergeCells count="1">
    <mergeCell ref="A1:L1"/>
  </mergeCells>
  <printOptions horizontalCentered="1"/>
  <pageMargins left="0.4" right="0.4" top="0.5" bottom="0.5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AP_Register</vt:lpstr>
      <vt:lpstr>Overdue_Report</vt:lpstr>
      <vt:lpstr>Expense_Claims</vt:lpstr>
      <vt:lpstr>Checks</vt:lpstr>
      <vt:lpstr>Process_Note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moyosoluwa.yusuf@ucalgary.ca</dc:creator>
  <dc:description/>
  <cp:lastModifiedBy>Mo Yusuf</cp:lastModifiedBy>
  <cp:revision>1</cp:revision>
  <dcterms:created xsi:type="dcterms:W3CDTF">2026-10-09T16:58:32Z</dcterms:created>
  <dcterms:modified xsi:type="dcterms:W3CDTF">2026-10-13T16:22:53Z</dcterms:modified>
  <dc:language>en-US</dc:language>
</cp:coreProperties>
</file>